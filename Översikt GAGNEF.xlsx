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45566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45566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39809-2020</t>
        </is>
      </c>
      <c r="B4" s="1" t="n">
        <v>44067</v>
      </c>
      <c r="C4" s="1" t="n">
        <v>45566</v>
      </c>
      <c r="D4" t="inlineStr">
        <is>
          <t>DALARNAS LÄN</t>
        </is>
      </c>
      <c r="E4" t="inlineStr">
        <is>
          <t>GAGNEF</t>
        </is>
      </c>
      <c r="G4" t="n">
        <v>8.1</v>
      </c>
      <c r="H4" t="n">
        <v>2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Motaggsvamp
Skrovlig taggsvamp
Talltita
Dropptaggsvamp
Nästlav
Plattlummer</t>
        </is>
      </c>
      <c r="S4">
        <f>HYPERLINK("https://klasma.github.io/Logging_2026/artfynd/A 39809-2020 artfynd.xlsx", "A 39809-2020")</f>
        <v/>
      </c>
      <c r="T4">
        <f>HYPERLINK("https://klasma.github.io/Logging_2026/kartor/A 39809-2020 karta.png", "A 39809-2020")</f>
        <v/>
      </c>
      <c r="V4">
        <f>HYPERLINK("https://klasma.github.io/Logging_2026/klagomål/A 39809-2020 FSC-klagomål.docx", "A 39809-2020")</f>
        <v/>
      </c>
      <c r="W4">
        <f>HYPERLINK("https://klasma.github.io/Logging_2026/klagomålsmail/A 39809-2020 FSC-klagomål mail.docx", "A 39809-2020")</f>
        <v/>
      </c>
      <c r="X4">
        <f>HYPERLINK("https://klasma.github.io/Logging_2026/tillsyn/A 39809-2020 tillsynsbegäran.docx", "A 39809-2020")</f>
        <v/>
      </c>
      <c r="Y4">
        <f>HYPERLINK("https://klasma.github.io/Logging_2026/tillsynsmail/A 39809-2020 tillsynsbegäran mail.docx", "A 39809-2020")</f>
        <v/>
      </c>
      <c r="Z4">
        <f>HYPERLINK("https://klasma.github.io/Logging_2026/fåglar/A 39809-2020 prioriterade fågelarter.docx", "A 39809-2020")</f>
        <v/>
      </c>
    </row>
    <row r="5" ht="15" customHeight="1">
      <c r="A5" t="inlineStr">
        <is>
          <t>A 57347-2022</t>
        </is>
      </c>
      <c r="B5" s="1" t="n">
        <v>44896</v>
      </c>
      <c r="C5" s="1" t="n">
        <v>45566</v>
      </c>
      <c r="D5" t="inlineStr">
        <is>
          <t>DALARNAS LÄN</t>
        </is>
      </c>
      <c r="E5" t="inlineStr">
        <is>
          <t>GAGNEF</t>
        </is>
      </c>
      <c r="G5" t="n">
        <v>8.5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Talltita
Dropptaggsvamp
Nästlav
Plattlummer</t>
        </is>
      </c>
      <c r="S5">
        <f>HYPERLINK("https://klasma.github.io/Logging_2026/artfynd/A 57347-2022 artfynd.xlsx", "A 57347-2022")</f>
        <v/>
      </c>
      <c r="T5">
        <f>HYPERLINK("https://klasma.github.io/Logging_2026/kartor/A 57347-2022 karta.png", "A 57347-2022")</f>
        <v/>
      </c>
      <c r="V5">
        <f>HYPERLINK("https://klasma.github.io/Logging_2026/klagomål/A 57347-2022 FSC-klagomål.docx", "A 57347-2022")</f>
        <v/>
      </c>
      <c r="W5">
        <f>HYPERLINK("https://klasma.github.io/Logging_2026/klagomålsmail/A 57347-2022 FSC-klagomål mail.docx", "A 57347-2022")</f>
        <v/>
      </c>
      <c r="X5">
        <f>HYPERLINK("https://klasma.github.io/Logging_2026/tillsyn/A 57347-2022 tillsynsbegäran.docx", "A 57347-2022")</f>
        <v/>
      </c>
      <c r="Y5">
        <f>HYPERLINK("https://klasma.github.io/Logging_2026/tillsynsmail/A 57347-2022 tillsynsbegäran mail.docx", "A 57347-2022")</f>
        <v/>
      </c>
      <c r="Z5">
        <f>HYPERLINK("https://klasma.github.io/Logging_2026/fåglar/A 57347-2022 prioriterade fågelarter.docx", "A 57347-2022")</f>
        <v/>
      </c>
    </row>
    <row r="6" ht="15" customHeight="1">
      <c r="A6" t="inlineStr">
        <is>
          <t>A 20728-2023</t>
        </is>
      </c>
      <c r="B6" s="1" t="n">
        <v>45055</v>
      </c>
      <c r="C6" s="1" t="n">
        <v>45566</v>
      </c>
      <c r="D6" t="inlineStr">
        <is>
          <t>DALARNAS LÄN</t>
        </is>
      </c>
      <c r="E6" t="inlineStr">
        <is>
          <t>GAGNEF</t>
        </is>
      </c>
      <c r="G6" t="n">
        <v>5.9</v>
      </c>
      <c r="H6" t="n">
        <v>3</v>
      </c>
      <c r="I6" t="n">
        <v>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6</v>
      </c>
      <c r="R6" s="2" t="inlineStr">
        <is>
          <t>Knärot
Garnlav
Rosenticka
Spillkråka
Tretåig hackspett
Ullticka</t>
        </is>
      </c>
      <c r="S6">
        <f>HYPERLINK("https://klasma.github.io/Logging_2026/artfynd/A 20728-2023 artfynd.xlsx", "A 20728-2023")</f>
        <v/>
      </c>
      <c r="T6">
        <f>HYPERLINK("https://klasma.github.io/Logging_2026/kartor/A 20728-2023 karta.png", "A 20728-2023")</f>
        <v/>
      </c>
      <c r="U6">
        <f>HYPERLINK("https://klasma.github.io/Logging_2026/knärot/A 20728-2023 karta knärot.png", "A 20728-2023")</f>
        <v/>
      </c>
      <c r="V6">
        <f>HYPERLINK("https://klasma.github.io/Logging_2026/klagomål/A 20728-2023 FSC-klagomål.docx", "A 20728-2023")</f>
        <v/>
      </c>
      <c r="W6">
        <f>HYPERLINK("https://klasma.github.io/Logging_2026/klagomålsmail/A 20728-2023 FSC-klagomål mail.docx", "A 20728-2023")</f>
        <v/>
      </c>
      <c r="X6">
        <f>HYPERLINK("https://klasma.github.io/Logging_2026/tillsyn/A 20728-2023 tillsynsbegäran.docx", "A 20728-2023")</f>
        <v/>
      </c>
      <c r="Y6">
        <f>HYPERLINK("https://klasma.github.io/Logging_2026/tillsynsmail/A 20728-2023 tillsynsbegäran mail.docx", "A 20728-2023")</f>
        <v/>
      </c>
      <c r="Z6">
        <f>HYPERLINK("https://klasma.github.io/Logging_2026/fåglar/A 20728-2023 prioriterade fågelarter.docx", "A 20728-2023")</f>
        <v/>
      </c>
    </row>
    <row r="7" ht="15" customHeight="1">
      <c r="A7" t="inlineStr">
        <is>
          <t>A 40359-2019</t>
        </is>
      </c>
      <c r="B7" s="1" t="n">
        <v>43696</v>
      </c>
      <c r="C7" s="1" t="n">
        <v>45566</v>
      </c>
      <c r="D7" t="inlineStr">
        <is>
          <t>DALARNAS LÄN</t>
        </is>
      </c>
      <c r="E7" t="inlineStr">
        <is>
          <t>GAGNEF</t>
        </is>
      </c>
      <c r="G7" t="n">
        <v>5.8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Rynkskinn
Rosenticka
Ullticka
Kattfotslav
Zontaggsvamp</t>
        </is>
      </c>
      <c r="S7">
        <f>HYPERLINK("https://klasma.github.io/Logging_2026/artfynd/A 40359-2019 artfynd.xlsx", "A 40359-2019")</f>
        <v/>
      </c>
      <c r="T7">
        <f>HYPERLINK("https://klasma.github.io/Logging_2026/kartor/A 40359-2019 karta.png", "A 40359-2019")</f>
        <v/>
      </c>
      <c r="V7">
        <f>HYPERLINK("https://klasma.github.io/Logging_2026/klagomål/A 40359-2019 FSC-klagomål.docx", "A 40359-2019")</f>
        <v/>
      </c>
      <c r="W7">
        <f>HYPERLINK("https://klasma.github.io/Logging_2026/klagomålsmail/A 40359-2019 FSC-klagomål mail.docx", "A 40359-2019")</f>
        <v/>
      </c>
      <c r="X7">
        <f>HYPERLINK("https://klasma.github.io/Logging_2026/tillsyn/A 40359-2019 tillsynsbegäran.docx", "A 40359-2019")</f>
        <v/>
      </c>
      <c r="Y7">
        <f>HYPERLINK("https://klasma.github.io/Logging_2026/tillsynsmail/A 40359-2019 tillsynsbegäran mail.docx", "A 40359-2019")</f>
        <v/>
      </c>
    </row>
    <row r="8" ht="15" customHeight="1">
      <c r="A8" t="inlineStr">
        <is>
          <t>A 41892-2019</t>
        </is>
      </c>
      <c r="B8" s="1" t="n">
        <v>43700</v>
      </c>
      <c r="C8" s="1" t="n">
        <v>45566</v>
      </c>
      <c r="D8" t="inlineStr">
        <is>
          <t>DALARNAS LÄN</t>
        </is>
      </c>
      <c r="E8" t="inlineStr">
        <is>
          <t>GAGNEF</t>
        </is>
      </c>
      <c r="G8" t="n">
        <v>8.300000000000001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Doftskinn
Garnlav
Kolflarnlav
Vedskivlav
Violettgrå tagellav</t>
        </is>
      </c>
      <c r="S8">
        <f>HYPERLINK("https://klasma.github.io/Logging_2026/artfynd/A 41892-2019 artfynd.xlsx", "A 41892-2019")</f>
        <v/>
      </c>
      <c r="T8">
        <f>HYPERLINK("https://klasma.github.io/Logging_2026/kartor/A 41892-2019 karta.png", "A 41892-2019")</f>
        <v/>
      </c>
      <c r="V8">
        <f>HYPERLINK("https://klasma.github.io/Logging_2026/klagomål/A 41892-2019 FSC-klagomål.docx", "A 41892-2019")</f>
        <v/>
      </c>
      <c r="W8">
        <f>HYPERLINK("https://klasma.github.io/Logging_2026/klagomålsmail/A 41892-2019 FSC-klagomål mail.docx", "A 41892-2019")</f>
        <v/>
      </c>
      <c r="X8">
        <f>HYPERLINK("https://klasma.github.io/Logging_2026/tillsyn/A 41892-2019 tillsynsbegäran.docx", "A 41892-2019")</f>
        <v/>
      </c>
      <c r="Y8">
        <f>HYPERLINK("https://klasma.github.io/Logging_2026/tillsynsmail/A 41892-2019 tillsynsbegäran mail.docx", "A 41892-2019")</f>
        <v/>
      </c>
    </row>
    <row r="9" ht="15" customHeight="1">
      <c r="A9" t="inlineStr">
        <is>
          <t>A 39885-2020</t>
        </is>
      </c>
      <c r="B9" s="1" t="n">
        <v>44067</v>
      </c>
      <c r="C9" s="1" t="n">
        <v>45566</v>
      </c>
      <c r="D9" t="inlineStr">
        <is>
          <t>DALARNAS LÄN</t>
        </is>
      </c>
      <c r="E9" t="inlineStr">
        <is>
          <t>GAGNEF</t>
        </is>
      </c>
      <c r="G9" t="n">
        <v>8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Garnlav
Ullticka
Kattfotslav
Vedticka</t>
        </is>
      </c>
      <c r="S9">
        <f>HYPERLINK("https://klasma.github.io/Logging_2026/artfynd/A 39885-2020 artfynd.xlsx", "A 39885-2020")</f>
        <v/>
      </c>
      <c r="T9">
        <f>HYPERLINK("https://klasma.github.io/Logging_2026/kartor/A 39885-2020 karta.png", "A 39885-2020")</f>
        <v/>
      </c>
      <c r="V9">
        <f>HYPERLINK("https://klasma.github.io/Logging_2026/klagomål/A 39885-2020 FSC-klagomål.docx", "A 39885-2020")</f>
        <v/>
      </c>
      <c r="W9">
        <f>HYPERLINK("https://klasma.github.io/Logging_2026/klagomålsmail/A 39885-2020 FSC-klagomål mail.docx", "A 39885-2020")</f>
        <v/>
      </c>
      <c r="X9">
        <f>HYPERLINK("https://klasma.github.io/Logging_2026/tillsyn/A 39885-2020 tillsynsbegäran.docx", "A 39885-2020")</f>
        <v/>
      </c>
      <c r="Y9">
        <f>HYPERLINK("https://klasma.github.io/Logging_2026/tillsynsmail/A 39885-2020 tillsynsbegäran mail.docx", "A 39885-2020")</f>
        <v/>
      </c>
    </row>
    <row r="10" ht="15" customHeight="1">
      <c r="A10" t="inlineStr">
        <is>
          <t>A 14411-2024</t>
        </is>
      </c>
      <c r="B10" s="1" t="n">
        <v>45394</v>
      </c>
      <c r="C10" s="1" t="n">
        <v>45566</v>
      </c>
      <c r="D10" t="inlineStr">
        <is>
          <t>DALARNAS LÄN</t>
        </is>
      </c>
      <c r="E10" t="inlineStr">
        <is>
          <t>GAGNEF</t>
        </is>
      </c>
      <c r="G10" t="n">
        <v>5.9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Granticka
Stjärntagging
Dropptaggsvamp
Vedticka</t>
        </is>
      </c>
      <c r="S10">
        <f>HYPERLINK("https://klasma.github.io/Logging_2026/artfynd/A 14411-2024 artfynd.xlsx", "A 14411-2024")</f>
        <v/>
      </c>
      <c r="T10">
        <f>HYPERLINK("https://klasma.github.io/Logging_2026/kartor/A 14411-2024 karta.png", "A 14411-2024")</f>
        <v/>
      </c>
      <c r="V10">
        <f>HYPERLINK("https://klasma.github.io/Logging_2026/klagomål/A 14411-2024 FSC-klagomål.docx", "A 14411-2024")</f>
        <v/>
      </c>
      <c r="W10">
        <f>HYPERLINK("https://klasma.github.io/Logging_2026/klagomålsmail/A 14411-2024 FSC-klagomål mail.docx", "A 14411-2024")</f>
        <v/>
      </c>
      <c r="X10">
        <f>HYPERLINK("https://klasma.github.io/Logging_2026/tillsyn/A 14411-2024 tillsynsbegäran.docx", "A 14411-2024")</f>
        <v/>
      </c>
      <c r="Y10">
        <f>HYPERLINK("https://klasma.github.io/Logging_2026/tillsynsmail/A 14411-2024 tillsynsbegäran mail.docx", "A 14411-2024")</f>
        <v/>
      </c>
    </row>
    <row r="11" ht="15" customHeight="1">
      <c r="A11" t="inlineStr">
        <is>
          <t>A 20993-2024</t>
        </is>
      </c>
      <c r="B11" s="1" t="n">
        <v>45439</v>
      </c>
      <c r="C11" s="1" t="n">
        <v>45566</v>
      </c>
      <c r="D11" t="inlineStr">
        <is>
          <t>DALARNAS LÄN</t>
        </is>
      </c>
      <c r="E11" t="inlineStr">
        <is>
          <t>GAGNEF</t>
        </is>
      </c>
      <c r="G11" t="n">
        <v>5.3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Orange taggsvamp
Svart taggsvamp
Dropptaggsvamp
Kattfotslav</t>
        </is>
      </c>
      <c r="S11">
        <f>HYPERLINK("https://klasma.github.io/Logging_2026/artfynd/A 20993-2024 artfynd.xlsx", "A 20993-2024")</f>
        <v/>
      </c>
      <c r="T11">
        <f>HYPERLINK("https://klasma.github.io/Logging_2026/kartor/A 20993-2024 karta.png", "A 20993-2024")</f>
        <v/>
      </c>
      <c r="V11">
        <f>HYPERLINK("https://klasma.github.io/Logging_2026/klagomål/A 20993-2024 FSC-klagomål.docx", "A 20993-2024")</f>
        <v/>
      </c>
      <c r="W11">
        <f>HYPERLINK("https://klasma.github.io/Logging_2026/klagomålsmail/A 20993-2024 FSC-klagomål mail.docx", "A 20993-2024")</f>
        <v/>
      </c>
      <c r="X11">
        <f>HYPERLINK("https://klasma.github.io/Logging_2026/tillsyn/A 20993-2024 tillsynsbegäran.docx", "A 20993-2024")</f>
        <v/>
      </c>
      <c r="Y11">
        <f>HYPERLINK("https://klasma.github.io/Logging_2026/tillsynsmail/A 20993-2024 tillsynsbegäran mail.docx", "A 20993-2024")</f>
        <v/>
      </c>
    </row>
    <row r="12" ht="15" customHeight="1">
      <c r="A12" t="inlineStr">
        <is>
          <t>A 5045-2023</t>
        </is>
      </c>
      <c r="B12" s="1" t="n">
        <v>44958</v>
      </c>
      <c r="C12" s="1" t="n">
        <v>45566</v>
      </c>
      <c r="D12" t="inlineStr">
        <is>
          <t>DALARNAS LÄN</t>
        </is>
      </c>
      <c r="E12" t="inlineStr">
        <is>
          <t>GAGNEF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HYPERLINK("https://klasma.github.io/Logging_2026/artfynd/A 5045-2023 artfynd.xlsx", "A 5045-2023")</f>
        <v/>
      </c>
      <c r="T12">
        <f>HYPERLINK("https://klasma.github.io/Logging_2026/kartor/A 5045-2023 karta.png", "A 5045-2023")</f>
        <v/>
      </c>
      <c r="V12">
        <f>HYPERLINK("https://klasma.github.io/Logging_2026/klagomål/A 5045-2023 FSC-klagomål.docx", "A 5045-2023")</f>
        <v/>
      </c>
      <c r="W12">
        <f>HYPERLINK("https://klasma.github.io/Logging_2026/klagomålsmail/A 5045-2023 FSC-klagomål mail.docx", "A 5045-2023")</f>
        <v/>
      </c>
      <c r="X12">
        <f>HYPERLINK("https://klasma.github.io/Logging_2026/tillsyn/A 5045-2023 tillsynsbegäran.docx", "A 5045-2023")</f>
        <v/>
      </c>
      <c r="Y12">
        <f>HYPERLINK("https://klasma.github.io/Logging_2026/tillsynsmail/A 5045-2023 tillsynsbegäran mail.docx", "A 5045-2023")</f>
        <v/>
      </c>
    </row>
    <row r="13" ht="15" customHeight="1">
      <c r="A13" t="inlineStr">
        <is>
          <t>A 20403-2023</t>
        </is>
      </c>
      <c r="B13" s="1" t="n">
        <v>45056</v>
      </c>
      <c r="C13" s="1" t="n">
        <v>45566</v>
      </c>
      <c r="D13" t="inlineStr">
        <is>
          <t>DALARNAS LÄN</t>
        </is>
      </c>
      <c r="E13" t="inlineStr">
        <is>
          <t>GAGNEF</t>
        </is>
      </c>
      <c r="G13" t="n">
        <v>9.6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Tvåblad
Underviol
Fläcknycklar</t>
        </is>
      </c>
      <c r="S13">
        <f>HYPERLINK("https://klasma.github.io/Logging_2026/artfynd/A 20403-2023 artfynd.xlsx", "A 20403-2023")</f>
        <v/>
      </c>
      <c r="T13">
        <f>HYPERLINK("https://klasma.github.io/Logging_2026/kartor/A 20403-2023 karta.png", "A 20403-2023")</f>
        <v/>
      </c>
      <c r="V13">
        <f>HYPERLINK("https://klasma.github.io/Logging_2026/klagomål/A 20403-2023 FSC-klagomål.docx", "A 20403-2023")</f>
        <v/>
      </c>
      <c r="W13">
        <f>HYPERLINK("https://klasma.github.io/Logging_2026/klagomålsmail/A 20403-2023 FSC-klagomål mail.docx", "A 20403-2023")</f>
        <v/>
      </c>
      <c r="X13">
        <f>HYPERLINK("https://klasma.github.io/Logging_2026/tillsyn/A 20403-2023 tillsynsbegäran.docx", "A 20403-2023")</f>
        <v/>
      </c>
      <c r="Y13">
        <f>HYPERLINK("https://klasma.github.io/Logging_2026/tillsynsmail/A 20403-2023 tillsynsbegäran mail.docx", "A 20403-2023")</f>
        <v/>
      </c>
    </row>
    <row r="14" ht="15" customHeight="1">
      <c r="A14" t="inlineStr">
        <is>
          <t>A 14462-2024</t>
        </is>
      </c>
      <c r="B14" s="1" t="n">
        <v>45394</v>
      </c>
      <c r="C14" s="1" t="n">
        <v>45566</v>
      </c>
      <c r="D14" t="inlineStr">
        <is>
          <t>DALARNAS LÄN</t>
        </is>
      </c>
      <c r="E14" t="inlineStr">
        <is>
          <t>GAGNEF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Dropptaggsvamp
Tjäder</t>
        </is>
      </c>
      <c r="S14">
        <f>HYPERLINK("https://klasma.github.io/Logging_2026/artfynd/A 14462-2024 artfynd.xlsx", "A 14462-2024")</f>
        <v/>
      </c>
      <c r="T14">
        <f>HYPERLINK("https://klasma.github.io/Logging_2026/kartor/A 14462-2024 karta.png", "A 14462-2024")</f>
        <v/>
      </c>
      <c r="V14">
        <f>HYPERLINK("https://klasma.github.io/Logging_2026/klagomål/A 14462-2024 FSC-klagomål.docx", "A 14462-2024")</f>
        <v/>
      </c>
      <c r="W14">
        <f>HYPERLINK("https://klasma.github.io/Logging_2026/klagomålsmail/A 14462-2024 FSC-klagomål mail.docx", "A 14462-2024")</f>
        <v/>
      </c>
      <c r="X14">
        <f>HYPERLINK("https://klasma.github.io/Logging_2026/tillsyn/A 14462-2024 tillsynsbegäran.docx", "A 14462-2024")</f>
        <v/>
      </c>
      <c r="Y14">
        <f>HYPERLINK("https://klasma.github.io/Logging_2026/tillsynsmail/A 14462-2024 tillsynsbegäran mail.docx", "A 14462-2024")</f>
        <v/>
      </c>
      <c r="Z14">
        <f>HYPERLINK("https://klasma.github.io/Logging_2026/fåglar/A 14462-2024 prioriterade fågelarter.docx", "A 14462-2024")</f>
        <v/>
      </c>
    </row>
    <row r="15" ht="15" customHeight="1">
      <c r="A15" t="inlineStr">
        <is>
          <t>A 14476-2024</t>
        </is>
      </c>
      <c r="B15" s="1" t="n">
        <v>45394</v>
      </c>
      <c r="C15" s="1" t="n">
        <v>45566</v>
      </c>
      <c r="D15" t="inlineStr">
        <is>
          <t>DALARNAS LÄN</t>
        </is>
      </c>
      <c r="E15" t="inlineStr">
        <is>
          <t>GAGNEF</t>
        </is>
      </c>
      <c r="G15" t="n">
        <v>3.6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Dropptaggsvamp
Vedticka</t>
        </is>
      </c>
      <c r="S15">
        <f>HYPERLINK("https://klasma.github.io/Logging_2026/artfynd/A 14476-2024 artfynd.xlsx", "A 14476-2024")</f>
        <v/>
      </c>
      <c r="T15">
        <f>HYPERLINK("https://klasma.github.io/Logging_2026/kartor/A 14476-2024 karta.png", "A 14476-2024")</f>
        <v/>
      </c>
      <c r="V15">
        <f>HYPERLINK("https://klasma.github.io/Logging_2026/klagomål/A 14476-2024 FSC-klagomål.docx", "A 14476-2024")</f>
        <v/>
      </c>
      <c r="W15">
        <f>HYPERLINK("https://klasma.github.io/Logging_2026/klagomålsmail/A 14476-2024 FSC-klagomål mail.docx", "A 14476-2024")</f>
        <v/>
      </c>
      <c r="X15">
        <f>HYPERLINK("https://klasma.github.io/Logging_2026/tillsyn/A 14476-2024 tillsynsbegäran.docx", "A 14476-2024")</f>
        <v/>
      </c>
      <c r="Y15">
        <f>HYPERLINK("https://klasma.github.io/Logging_2026/tillsynsmail/A 14476-2024 tillsynsbegäran mail.docx", "A 14476-2024")</f>
        <v/>
      </c>
    </row>
    <row r="16" ht="15" customHeight="1">
      <c r="A16" t="inlineStr">
        <is>
          <t>A 165-2020</t>
        </is>
      </c>
      <c r="B16" s="1" t="n">
        <v>43833</v>
      </c>
      <c r="C16" s="1" t="n">
        <v>45566</v>
      </c>
      <c r="D16" t="inlineStr">
        <is>
          <t>DALARNAS LÄN</t>
        </is>
      </c>
      <c r="E16" t="inlineStr">
        <is>
          <t>GAGNEF</t>
        </is>
      </c>
      <c r="F16" t="inlineStr">
        <is>
          <t>Kommuner</t>
        </is>
      </c>
      <c r="G16" t="n">
        <v>8.9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HYPERLINK("https://klasma.github.io/Logging_2026/artfynd/A 165-2020 artfynd.xlsx", "A 165-2020")</f>
        <v/>
      </c>
      <c r="T16">
        <f>HYPERLINK("https://klasma.github.io/Logging_2026/kartor/A 165-2020 karta.png", "A 165-2020")</f>
        <v/>
      </c>
      <c r="V16">
        <f>HYPERLINK("https://klasma.github.io/Logging_2026/klagomål/A 165-2020 FSC-klagomål.docx", "A 165-2020")</f>
        <v/>
      </c>
      <c r="W16">
        <f>HYPERLINK("https://klasma.github.io/Logging_2026/klagomålsmail/A 165-2020 FSC-klagomål mail.docx", "A 165-2020")</f>
        <v/>
      </c>
      <c r="X16">
        <f>HYPERLINK("https://klasma.github.io/Logging_2026/tillsyn/A 165-2020 tillsynsbegäran.docx", "A 165-2020")</f>
        <v/>
      </c>
      <c r="Y16">
        <f>HYPERLINK("https://klasma.github.io/Logging_2026/tillsynsmail/A 165-2020 tillsynsbegäran mail.docx", "A 165-2020")</f>
        <v/>
      </c>
    </row>
    <row r="17" ht="15" customHeight="1">
      <c r="A17" t="inlineStr">
        <is>
          <t>A 27910-2022</t>
        </is>
      </c>
      <c r="B17" s="1" t="n">
        <v>44743</v>
      </c>
      <c r="C17" s="1" t="n">
        <v>45566</v>
      </c>
      <c r="D17" t="inlineStr">
        <is>
          <t>DALARNAS LÄN</t>
        </is>
      </c>
      <c r="E17" t="inlineStr">
        <is>
          <t>GAGNEF</t>
        </is>
      </c>
      <c r="G17" t="n">
        <v>10.8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HYPERLINK("https://klasma.github.io/Logging_2026/artfynd/A 27910-2022 artfynd.xlsx", "A 27910-2022")</f>
        <v/>
      </c>
      <c r="T17">
        <f>HYPERLINK("https://klasma.github.io/Logging_2026/kartor/A 27910-2022 karta.png", "A 27910-2022")</f>
        <v/>
      </c>
      <c r="V17">
        <f>HYPERLINK("https://klasma.github.io/Logging_2026/klagomål/A 27910-2022 FSC-klagomål.docx", "A 27910-2022")</f>
        <v/>
      </c>
      <c r="W17">
        <f>HYPERLINK("https://klasma.github.io/Logging_2026/klagomålsmail/A 27910-2022 FSC-klagomål mail.docx", "A 27910-2022")</f>
        <v/>
      </c>
      <c r="X17">
        <f>HYPERLINK("https://klasma.github.io/Logging_2026/tillsyn/A 27910-2022 tillsynsbegäran.docx", "A 27910-2022")</f>
        <v/>
      </c>
      <c r="Y17">
        <f>HYPERLINK("https://klasma.github.io/Logging_2026/tillsynsmail/A 27910-2022 tillsynsbegäran mail.docx", "A 27910-2022")</f>
        <v/>
      </c>
    </row>
    <row r="18" ht="15" customHeight="1">
      <c r="A18" t="inlineStr">
        <is>
          <t>A 377-2023</t>
        </is>
      </c>
      <c r="B18" s="1" t="n">
        <v>44929</v>
      </c>
      <c r="C18" s="1" t="n">
        <v>45566</v>
      </c>
      <c r="D18" t="inlineStr">
        <is>
          <t>DALARNAS LÄN</t>
        </is>
      </c>
      <c r="E18" t="inlineStr">
        <is>
          <t>GAGNEF</t>
        </is>
      </c>
      <c r="G18" t="n">
        <v>1.7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Svartvit flugsnappare</t>
        </is>
      </c>
      <c r="S18">
        <f>HYPERLINK("https://klasma.github.io/Logging_2026/artfynd/A 377-2023 artfynd.xlsx", "A 377-2023")</f>
        <v/>
      </c>
      <c r="T18">
        <f>HYPERLINK("https://klasma.github.io/Logging_2026/kartor/A 377-2023 karta.png", "A 377-2023")</f>
        <v/>
      </c>
      <c r="V18">
        <f>HYPERLINK("https://klasma.github.io/Logging_2026/klagomål/A 377-2023 FSC-klagomål.docx", "A 377-2023")</f>
        <v/>
      </c>
      <c r="W18">
        <f>HYPERLINK("https://klasma.github.io/Logging_2026/klagomålsmail/A 377-2023 FSC-klagomål mail.docx", "A 377-2023")</f>
        <v/>
      </c>
      <c r="X18">
        <f>HYPERLINK("https://klasma.github.io/Logging_2026/tillsyn/A 377-2023 tillsynsbegäran.docx", "A 377-2023")</f>
        <v/>
      </c>
      <c r="Y18">
        <f>HYPERLINK("https://klasma.github.io/Logging_2026/tillsynsmail/A 377-2023 tillsynsbegäran mail.docx", "A 377-2023")</f>
        <v/>
      </c>
      <c r="Z18">
        <f>HYPERLINK("https://klasma.github.io/Logging_2026/fåglar/A 377-2023 prioriterade fågelarter.docx", "A 377-2023")</f>
        <v/>
      </c>
    </row>
    <row r="19" ht="15" customHeight="1">
      <c r="A19" t="inlineStr">
        <is>
          <t>A 47254-2023</t>
        </is>
      </c>
      <c r="B19" s="1" t="n">
        <v>45202</v>
      </c>
      <c r="C19" s="1" t="n">
        <v>45566</v>
      </c>
      <c r="D19" t="inlineStr">
        <is>
          <t>DALARNAS LÄN</t>
        </is>
      </c>
      <c r="E19" t="inlineStr">
        <is>
          <t>GAGNEF</t>
        </is>
      </c>
      <c r="G19" t="n">
        <v>4.5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HYPERLINK("https://klasma.github.io/Logging_2026/artfynd/A 47254-2023 artfynd.xlsx", "A 47254-2023")</f>
        <v/>
      </c>
      <c r="T19">
        <f>HYPERLINK("https://klasma.github.io/Logging_2026/kartor/A 47254-2023 karta.png", "A 47254-2023")</f>
        <v/>
      </c>
      <c r="V19">
        <f>HYPERLINK("https://klasma.github.io/Logging_2026/klagomål/A 47254-2023 FSC-klagomål.docx", "A 47254-2023")</f>
        <v/>
      </c>
      <c r="W19">
        <f>HYPERLINK("https://klasma.github.io/Logging_2026/klagomålsmail/A 47254-2023 FSC-klagomål mail.docx", "A 47254-2023")</f>
        <v/>
      </c>
      <c r="X19">
        <f>HYPERLINK("https://klasma.github.io/Logging_2026/tillsyn/A 47254-2023 tillsynsbegäran.docx", "A 47254-2023")</f>
        <v/>
      </c>
      <c r="Y19">
        <f>HYPERLINK("https://klasma.github.io/Logging_2026/tillsynsmail/A 47254-2023 tillsynsbegäran mail.docx", "A 47254-2023")</f>
        <v/>
      </c>
    </row>
    <row r="20" ht="15" customHeight="1">
      <c r="A20" t="inlineStr">
        <is>
          <t>A 63654-2023</t>
        </is>
      </c>
      <c r="B20" s="1" t="n">
        <v>45275</v>
      </c>
      <c r="C20" s="1" t="n">
        <v>45566</v>
      </c>
      <c r="D20" t="inlineStr">
        <is>
          <t>DALARNAS LÄN</t>
        </is>
      </c>
      <c r="E20" t="inlineStr">
        <is>
          <t>GAGNEF</t>
        </is>
      </c>
      <c r="G20" t="n">
        <v>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Trådticka</t>
        </is>
      </c>
      <c r="S20">
        <f>HYPERLINK("https://klasma.github.io/Logging_2026/artfynd/A 63654-2023 artfynd.xlsx", "A 63654-2023")</f>
        <v/>
      </c>
      <c r="T20">
        <f>HYPERLINK("https://klasma.github.io/Logging_2026/kartor/A 63654-2023 karta.png", "A 63654-2023")</f>
        <v/>
      </c>
      <c r="V20">
        <f>HYPERLINK("https://klasma.github.io/Logging_2026/klagomål/A 63654-2023 FSC-klagomål.docx", "A 63654-2023")</f>
        <v/>
      </c>
      <c r="W20">
        <f>HYPERLINK("https://klasma.github.io/Logging_2026/klagomålsmail/A 63654-2023 FSC-klagomål mail.docx", "A 63654-2023")</f>
        <v/>
      </c>
      <c r="X20">
        <f>HYPERLINK("https://klasma.github.io/Logging_2026/tillsyn/A 63654-2023 tillsynsbegäran.docx", "A 63654-2023")</f>
        <v/>
      </c>
      <c r="Y20">
        <f>HYPERLINK("https://klasma.github.io/Logging_2026/tillsynsmail/A 63654-2023 tillsynsbegäran mail.docx", "A 63654-2023")</f>
        <v/>
      </c>
    </row>
    <row r="21" ht="15" customHeight="1">
      <c r="A21" t="inlineStr">
        <is>
          <t>A 19525-2024</t>
        </is>
      </c>
      <c r="B21" s="1" t="n">
        <v>45429</v>
      </c>
      <c r="C21" s="1" t="n">
        <v>45566</v>
      </c>
      <c r="D21" t="inlineStr">
        <is>
          <t>DALARNAS LÄN</t>
        </is>
      </c>
      <c r="E21" t="inlineStr">
        <is>
          <t>GAGNEF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Grönfink
Tornseglare</t>
        </is>
      </c>
      <c r="S21">
        <f>HYPERLINK("https://klasma.github.io/Logging_2026/artfynd/A 19525-2024 artfynd.xlsx", "A 19525-2024")</f>
        <v/>
      </c>
      <c r="T21">
        <f>HYPERLINK("https://klasma.github.io/Logging_2026/kartor/A 19525-2024 karta.png", "A 19525-2024")</f>
        <v/>
      </c>
      <c r="V21">
        <f>HYPERLINK("https://klasma.github.io/Logging_2026/klagomål/A 19525-2024 FSC-klagomål.docx", "A 19525-2024")</f>
        <v/>
      </c>
      <c r="W21">
        <f>HYPERLINK("https://klasma.github.io/Logging_2026/klagomålsmail/A 19525-2024 FSC-klagomål mail.docx", "A 19525-2024")</f>
        <v/>
      </c>
      <c r="X21">
        <f>HYPERLINK("https://klasma.github.io/Logging_2026/tillsyn/A 19525-2024 tillsynsbegäran.docx", "A 19525-2024")</f>
        <v/>
      </c>
      <c r="Y21">
        <f>HYPERLINK("https://klasma.github.io/Logging_2026/tillsynsmail/A 19525-2024 tillsynsbegäran mail.docx", "A 19525-2024")</f>
        <v/>
      </c>
      <c r="Z21">
        <f>HYPERLINK("https://klasma.github.io/Logging_2026/fåglar/A 19525-2024 prioriterade fågelarter.docx", "A 19525-2024")</f>
        <v/>
      </c>
    </row>
    <row r="22" ht="15" customHeight="1">
      <c r="A22" t="inlineStr">
        <is>
          <t>A 25675-2024</t>
        </is>
      </c>
      <c r="B22" s="1" t="n">
        <v>45463</v>
      </c>
      <c r="C22" s="1" t="n">
        <v>45566</v>
      </c>
      <c r="D22" t="inlineStr">
        <is>
          <t>DALARNAS LÄN</t>
        </is>
      </c>
      <c r="E22" t="inlineStr">
        <is>
          <t>GAGNEF</t>
        </is>
      </c>
      <c r="G22" t="n">
        <v>6.5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Nästlav</t>
        </is>
      </c>
      <c r="S22">
        <f>HYPERLINK("https://klasma.github.io/Logging_2026/artfynd/A 25675-2024 artfynd.xlsx", "A 25675-2024")</f>
        <v/>
      </c>
      <c r="T22">
        <f>HYPERLINK("https://klasma.github.io/Logging_2026/kartor/A 25675-2024 karta.png", "A 25675-2024")</f>
        <v/>
      </c>
      <c r="V22">
        <f>HYPERLINK("https://klasma.github.io/Logging_2026/klagomål/A 25675-2024 FSC-klagomål.docx", "A 25675-2024")</f>
        <v/>
      </c>
      <c r="W22">
        <f>HYPERLINK("https://klasma.github.io/Logging_2026/klagomålsmail/A 25675-2024 FSC-klagomål mail.docx", "A 25675-2024")</f>
        <v/>
      </c>
      <c r="X22">
        <f>HYPERLINK("https://klasma.github.io/Logging_2026/tillsyn/A 25675-2024 tillsynsbegäran.docx", "A 25675-2024")</f>
        <v/>
      </c>
      <c r="Y22">
        <f>HYPERLINK("https://klasma.github.io/Logging_2026/tillsynsmail/A 25675-2024 tillsynsbegäran mail.docx", "A 25675-2024")</f>
        <v/>
      </c>
    </row>
    <row r="23" ht="15" customHeight="1">
      <c r="A23" t="inlineStr">
        <is>
          <t>A 23496-2019</t>
        </is>
      </c>
      <c r="B23" s="1" t="n">
        <v>43594</v>
      </c>
      <c r="C23" s="1" t="n">
        <v>45566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HYPERLINK("https://klasma.github.io/Logging_2026/artfynd/A 23496-2019 artfynd.xlsx", "A 23496-2019")</f>
        <v/>
      </c>
      <c r="T23">
        <f>HYPERLINK("https://klasma.github.io/Logging_2026/kartor/A 23496-2019 karta.png", "A 23496-2019")</f>
        <v/>
      </c>
      <c r="V23">
        <f>HYPERLINK("https://klasma.github.io/Logging_2026/klagomål/A 23496-2019 FSC-klagomål.docx", "A 23496-2019")</f>
        <v/>
      </c>
      <c r="W23">
        <f>HYPERLINK("https://klasma.github.io/Logging_2026/klagomålsmail/A 23496-2019 FSC-klagomål mail.docx", "A 23496-2019")</f>
        <v/>
      </c>
      <c r="X23">
        <f>HYPERLINK("https://klasma.github.io/Logging_2026/tillsyn/A 23496-2019 tillsynsbegäran.docx", "A 23496-2019")</f>
        <v/>
      </c>
      <c r="Y23">
        <f>HYPERLINK("https://klasma.github.io/Logging_2026/tillsynsmail/A 23496-2019 tillsynsbegäran mail.docx", "A 23496-2019")</f>
        <v/>
      </c>
    </row>
    <row r="24" ht="15" customHeight="1">
      <c r="A24" t="inlineStr">
        <is>
          <t>A 28876-2019</t>
        </is>
      </c>
      <c r="B24" s="1" t="n">
        <v>43628</v>
      </c>
      <c r="C24" s="1" t="n">
        <v>45566</v>
      </c>
      <c r="D24" t="inlineStr">
        <is>
          <t>DALARNAS LÄN</t>
        </is>
      </c>
      <c r="E24" t="inlineStr">
        <is>
          <t>GAGNEF</t>
        </is>
      </c>
      <c r="G24" t="n">
        <v>11.8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HYPERLINK("https://klasma.github.io/Logging_2026/artfynd/A 28876-2019 artfynd.xlsx", "A 28876-2019")</f>
        <v/>
      </c>
      <c r="T24">
        <f>HYPERLINK("https://klasma.github.io/Logging_2026/kartor/A 28876-2019 karta.png", "A 28876-2019")</f>
        <v/>
      </c>
      <c r="U24">
        <f>HYPERLINK("https://klasma.github.io/Logging_2026/knärot/A 28876-2019 karta knärot.png", "A 28876-2019")</f>
        <v/>
      </c>
      <c r="V24">
        <f>HYPERLINK("https://klasma.github.io/Logging_2026/klagomål/A 28876-2019 FSC-klagomål.docx", "A 28876-2019")</f>
        <v/>
      </c>
      <c r="W24">
        <f>HYPERLINK("https://klasma.github.io/Logging_2026/klagomålsmail/A 28876-2019 FSC-klagomål mail.docx", "A 28876-2019")</f>
        <v/>
      </c>
      <c r="X24">
        <f>HYPERLINK("https://klasma.github.io/Logging_2026/tillsyn/A 28876-2019 tillsynsbegäran.docx", "A 28876-2019")</f>
        <v/>
      </c>
      <c r="Y24">
        <f>HYPERLINK("https://klasma.github.io/Logging_2026/tillsynsmail/A 28876-2019 tillsynsbegäran mail.docx", "A 28876-2019")</f>
        <v/>
      </c>
    </row>
    <row r="25" ht="15" customHeight="1">
      <c r="A25" t="inlineStr">
        <is>
          <t>A 66257-2019</t>
        </is>
      </c>
      <c r="B25" s="1" t="n">
        <v>43804</v>
      </c>
      <c r="C25" s="1" t="n">
        <v>45566</v>
      </c>
      <c r="D25" t="inlineStr">
        <is>
          <t>DALARNAS LÄN</t>
        </is>
      </c>
      <c r="E25" t="inlineStr">
        <is>
          <t>GAGNEF</t>
        </is>
      </c>
      <c r="G25" t="n">
        <v>14.7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66257-2019 artfynd.xlsx", "A 66257-2019")</f>
        <v/>
      </c>
      <c r="T25">
        <f>HYPERLINK("https://klasma.github.io/Logging_2026/kartor/A 66257-2019 karta.png", "A 66257-2019")</f>
        <v/>
      </c>
      <c r="V25">
        <f>HYPERLINK("https://klasma.github.io/Logging_2026/klagomål/A 66257-2019 FSC-klagomål.docx", "A 66257-2019")</f>
        <v/>
      </c>
      <c r="W25">
        <f>HYPERLINK("https://klasma.github.io/Logging_2026/klagomålsmail/A 66257-2019 FSC-klagomål mail.docx", "A 66257-2019")</f>
        <v/>
      </c>
      <c r="X25">
        <f>HYPERLINK("https://klasma.github.io/Logging_2026/tillsyn/A 66257-2019 tillsynsbegäran.docx", "A 66257-2019")</f>
        <v/>
      </c>
      <c r="Y25">
        <f>HYPERLINK("https://klasma.github.io/Logging_2026/tillsynsmail/A 66257-2019 tillsynsbegäran mail.docx", "A 66257-2019")</f>
        <v/>
      </c>
    </row>
    <row r="26" ht="15" customHeight="1">
      <c r="A26" t="inlineStr">
        <is>
          <t>A 12873-2021</t>
        </is>
      </c>
      <c r="B26" s="1" t="n">
        <v>44270</v>
      </c>
      <c r="C26" s="1" t="n">
        <v>45566</v>
      </c>
      <c r="D26" t="inlineStr">
        <is>
          <t>DALARNAS LÄN</t>
        </is>
      </c>
      <c r="E26" t="inlineStr">
        <is>
          <t>GAGNEF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HYPERLINK("https://klasma.github.io/Logging_2026/artfynd/A 12873-2021 artfynd.xlsx", "A 12873-2021")</f>
        <v/>
      </c>
      <c r="T26">
        <f>HYPERLINK("https://klasma.github.io/Logging_2026/kartor/A 12873-2021 karta.png", "A 12873-2021")</f>
        <v/>
      </c>
      <c r="V26">
        <f>HYPERLINK("https://klasma.github.io/Logging_2026/klagomål/A 12873-2021 FSC-klagomål.docx", "A 12873-2021")</f>
        <v/>
      </c>
      <c r="W26">
        <f>HYPERLINK("https://klasma.github.io/Logging_2026/klagomålsmail/A 12873-2021 FSC-klagomål mail.docx", "A 12873-2021")</f>
        <v/>
      </c>
      <c r="X26">
        <f>HYPERLINK("https://klasma.github.io/Logging_2026/tillsyn/A 12873-2021 tillsynsbegäran.docx", "A 12873-2021")</f>
        <v/>
      </c>
      <c r="Y26">
        <f>HYPERLINK("https://klasma.github.io/Logging_2026/tillsynsmail/A 12873-2021 tillsynsbegäran mail.docx", "A 12873-2021")</f>
        <v/>
      </c>
      <c r="Z26">
        <f>HYPERLINK("https://klasma.github.io/Logging_2026/fåglar/A 12873-2021 prioriterade fågelarter.docx", "A 12873-2021")</f>
        <v/>
      </c>
    </row>
    <row r="27" ht="15" customHeight="1">
      <c r="A27" t="inlineStr">
        <is>
          <t>A 64510-2021</t>
        </is>
      </c>
      <c r="B27" s="1" t="n">
        <v>44511</v>
      </c>
      <c r="C27" s="1" t="n">
        <v>45566</v>
      </c>
      <c r="D27" t="inlineStr">
        <is>
          <t>DALARNAS LÄN</t>
        </is>
      </c>
      <c r="E27" t="inlineStr">
        <is>
          <t>GAGNEF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HYPERLINK("https://klasma.github.io/Logging_2026/artfynd/A 64510-2021 artfynd.xlsx", "A 64510-2021")</f>
        <v/>
      </c>
      <c r="T27">
        <f>HYPERLINK("https://klasma.github.io/Logging_2026/kartor/A 64510-2021 karta.png", "A 64510-2021")</f>
        <v/>
      </c>
      <c r="V27">
        <f>HYPERLINK("https://klasma.github.io/Logging_2026/klagomål/A 64510-2021 FSC-klagomål.docx", "A 64510-2021")</f>
        <v/>
      </c>
      <c r="W27">
        <f>HYPERLINK("https://klasma.github.io/Logging_2026/klagomålsmail/A 64510-2021 FSC-klagomål mail.docx", "A 64510-2021")</f>
        <v/>
      </c>
      <c r="X27">
        <f>HYPERLINK("https://klasma.github.io/Logging_2026/tillsyn/A 64510-2021 tillsynsbegäran.docx", "A 64510-2021")</f>
        <v/>
      </c>
      <c r="Y27">
        <f>HYPERLINK("https://klasma.github.io/Logging_2026/tillsynsmail/A 64510-2021 tillsynsbegäran mail.docx", "A 64510-2021")</f>
        <v/>
      </c>
    </row>
    <row r="28" ht="15" customHeight="1">
      <c r="A28" t="inlineStr">
        <is>
          <t>A 20939-2023</t>
        </is>
      </c>
      <c r="B28" s="1" t="n">
        <v>45061</v>
      </c>
      <c r="C28" s="1" t="n">
        <v>45566</v>
      </c>
      <c r="D28" t="inlineStr">
        <is>
          <t>DALARNAS LÄN</t>
        </is>
      </c>
      <c r="E28" t="inlineStr">
        <is>
          <t>GAGNEF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Gräsull</t>
        </is>
      </c>
      <c r="S28">
        <f>HYPERLINK("https://klasma.github.io/Logging_2026/artfynd/A 20939-2023 artfynd.xlsx", "A 20939-2023")</f>
        <v/>
      </c>
      <c r="T28">
        <f>HYPERLINK("https://klasma.github.io/Logging_2026/kartor/A 20939-2023 karta.png", "A 20939-2023")</f>
        <v/>
      </c>
      <c r="V28">
        <f>HYPERLINK("https://klasma.github.io/Logging_2026/klagomål/A 20939-2023 FSC-klagomål.docx", "A 20939-2023")</f>
        <v/>
      </c>
      <c r="W28">
        <f>HYPERLINK("https://klasma.github.io/Logging_2026/klagomålsmail/A 20939-2023 FSC-klagomål mail.docx", "A 20939-2023")</f>
        <v/>
      </c>
      <c r="X28">
        <f>HYPERLINK("https://klasma.github.io/Logging_2026/tillsyn/A 20939-2023 tillsynsbegäran.docx", "A 20939-2023")</f>
        <v/>
      </c>
      <c r="Y28">
        <f>HYPERLINK("https://klasma.github.io/Logging_2026/tillsynsmail/A 20939-2023 tillsynsbegäran mail.docx", "A 20939-2023")</f>
        <v/>
      </c>
    </row>
    <row r="29" ht="15" customHeight="1">
      <c r="A29" t="inlineStr">
        <is>
          <t>A 21949-2023</t>
        </is>
      </c>
      <c r="B29" s="1" t="n">
        <v>45068</v>
      </c>
      <c r="C29" s="1" t="n">
        <v>45566</v>
      </c>
      <c r="D29" t="inlineStr">
        <is>
          <t>DALARNAS LÄN</t>
        </is>
      </c>
      <c r="E29" t="inlineStr">
        <is>
          <t>GAGNEF</t>
        </is>
      </c>
      <c r="G29" t="n">
        <v>19.3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HYPERLINK("https://klasma.github.io/Logging_2026/artfynd/A 21949-2023 artfynd.xlsx", "A 21949-2023")</f>
        <v/>
      </c>
      <c r="T29">
        <f>HYPERLINK("https://klasma.github.io/Logging_2026/kartor/A 21949-2023 karta.png", "A 21949-2023")</f>
        <v/>
      </c>
      <c r="V29">
        <f>HYPERLINK("https://klasma.github.io/Logging_2026/klagomål/A 21949-2023 FSC-klagomål.docx", "A 21949-2023")</f>
        <v/>
      </c>
      <c r="W29">
        <f>HYPERLINK("https://klasma.github.io/Logging_2026/klagomålsmail/A 21949-2023 FSC-klagomål mail.docx", "A 21949-2023")</f>
        <v/>
      </c>
      <c r="X29">
        <f>HYPERLINK("https://klasma.github.io/Logging_2026/tillsyn/A 21949-2023 tillsynsbegäran.docx", "A 21949-2023")</f>
        <v/>
      </c>
      <c r="Y29">
        <f>HYPERLINK("https://klasma.github.io/Logging_2026/tillsynsmail/A 21949-2023 tillsynsbegäran mail.docx", "A 21949-2023")</f>
        <v/>
      </c>
    </row>
    <row r="30" ht="15" customHeight="1">
      <c r="A30" t="inlineStr">
        <is>
          <t>A 35382-2023</t>
        </is>
      </c>
      <c r="B30" s="1" t="n">
        <v>45146</v>
      </c>
      <c r="C30" s="1" t="n">
        <v>45566</v>
      </c>
      <c r="D30" t="inlineStr">
        <is>
          <t>DALARNAS LÄN</t>
        </is>
      </c>
      <c r="E30" t="inlineStr">
        <is>
          <t>GAGNEF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Nästlav</t>
        </is>
      </c>
      <c r="S30">
        <f>HYPERLINK("https://klasma.github.io/Logging_2026/artfynd/A 35382-2023 artfynd.xlsx", "A 35382-2023")</f>
        <v/>
      </c>
      <c r="T30">
        <f>HYPERLINK("https://klasma.github.io/Logging_2026/kartor/A 35382-2023 karta.png", "A 35382-2023")</f>
        <v/>
      </c>
      <c r="V30">
        <f>HYPERLINK("https://klasma.github.io/Logging_2026/klagomål/A 35382-2023 FSC-klagomål.docx", "A 35382-2023")</f>
        <v/>
      </c>
      <c r="W30">
        <f>HYPERLINK("https://klasma.github.io/Logging_2026/klagomålsmail/A 35382-2023 FSC-klagomål mail.docx", "A 35382-2023")</f>
        <v/>
      </c>
      <c r="X30">
        <f>HYPERLINK("https://klasma.github.io/Logging_2026/tillsyn/A 35382-2023 tillsynsbegäran.docx", "A 35382-2023")</f>
        <v/>
      </c>
      <c r="Y30">
        <f>HYPERLINK("https://klasma.github.io/Logging_2026/tillsynsmail/A 35382-2023 tillsynsbegäran mail.docx", "A 35382-2023")</f>
        <v/>
      </c>
    </row>
    <row r="31" ht="15" customHeight="1">
      <c r="A31" t="inlineStr">
        <is>
          <t>A 57008-2023</t>
        </is>
      </c>
      <c r="B31" s="1" t="n">
        <v>45244</v>
      </c>
      <c r="C31" s="1" t="n">
        <v>45566</v>
      </c>
      <c r="D31" t="inlineStr">
        <is>
          <t>DALARNAS LÄN</t>
        </is>
      </c>
      <c r="E31" t="inlineStr">
        <is>
          <t>GAGNEF</t>
        </is>
      </c>
      <c r="G31" t="n">
        <v>8.699999999999999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HYPERLINK("https://klasma.github.io/Logging_2026/artfynd/A 57008-2023 artfynd.xlsx", "A 57008-2023")</f>
        <v/>
      </c>
      <c r="T31">
        <f>HYPERLINK("https://klasma.github.io/Logging_2026/kartor/A 57008-2023 karta.png", "A 57008-2023")</f>
        <v/>
      </c>
      <c r="V31">
        <f>HYPERLINK("https://klasma.github.io/Logging_2026/klagomål/A 57008-2023 FSC-klagomål.docx", "A 57008-2023")</f>
        <v/>
      </c>
      <c r="W31">
        <f>HYPERLINK("https://klasma.github.io/Logging_2026/klagomålsmail/A 57008-2023 FSC-klagomål mail.docx", "A 57008-2023")</f>
        <v/>
      </c>
      <c r="X31">
        <f>HYPERLINK("https://klasma.github.io/Logging_2026/tillsyn/A 57008-2023 tillsynsbegäran.docx", "A 57008-2023")</f>
        <v/>
      </c>
      <c r="Y31">
        <f>HYPERLINK("https://klasma.github.io/Logging_2026/tillsynsmail/A 57008-2023 tillsynsbegäran mail.docx", "A 57008-2023")</f>
        <v/>
      </c>
    </row>
    <row r="32" ht="15" customHeight="1">
      <c r="A32" t="inlineStr">
        <is>
          <t>A 14479-2024</t>
        </is>
      </c>
      <c r="B32" s="1" t="n">
        <v>45394</v>
      </c>
      <c r="C32" s="1" t="n">
        <v>45566</v>
      </c>
      <c r="D32" t="inlineStr">
        <is>
          <t>DALARNAS LÄN</t>
        </is>
      </c>
      <c r="E32" t="inlineStr">
        <is>
          <t>GAGNEF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14479-2024 artfynd.xlsx", "A 14479-2024")</f>
        <v/>
      </c>
      <c r="T32">
        <f>HYPERLINK("https://klasma.github.io/Logging_2026/kartor/A 14479-2024 karta.png", "A 14479-2024")</f>
        <v/>
      </c>
      <c r="V32">
        <f>HYPERLINK("https://klasma.github.io/Logging_2026/klagomål/A 14479-2024 FSC-klagomål.docx", "A 14479-2024")</f>
        <v/>
      </c>
      <c r="W32">
        <f>HYPERLINK("https://klasma.github.io/Logging_2026/klagomålsmail/A 14479-2024 FSC-klagomål mail.docx", "A 14479-2024")</f>
        <v/>
      </c>
      <c r="X32">
        <f>HYPERLINK("https://klasma.github.io/Logging_2026/tillsyn/A 14479-2024 tillsynsbegäran.docx", "A 14479-2024")</f>
        <v/>
      </c>
      <c r="Y32">
        <f>HYPERLINK("https://klasma.github.io/Logging_2026/tillsynsmail/A 14479-2024 tillsynsbegäran mail.docx", "A 14479-2024")</f>
        <v/>
      </c>
    </row>
    <row r="33" ht="15" customHeight="1">
      <c r="A33" t="inlineStr">
        <is>
          <t>A 20295-2024</t>
        </is>
      </c>
      <c r="B33" s="1" t="n">
        <v>45435</v>
      </c>
      <c r="C33" s="1" t="n">
        <v>45566</v>
      </c>
      <c r="D33" t="inlineStr">
        <is>
          <t>DALARNAS LÄN</t>
        </is>
      </c>
      <c r="E33" t="inlineStr">
        <is>
          <t>GAGNEF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20295-2024 artfynd.xlsx", "A 20295-2024")</f>
        <v/>
      </c>
      <c r="T33">
        <f>HYPERLINK("https://klasma.github.io/Logging_2026/kartor/A 20295-2024 karta.png", "A 20295-2024")</f>
        <v/>
      </c>
      <c r="V33">
        <f>HYPERLINK("https://klasma.github.io/Logging_2026/klagomål/A 20295-2024 FSC-klagomål.docx", "A 20295-2024")</f>
        <v/>
      </c>
      <c r="W33">
        <f>HYPERLINK("https://klasma.github.io/Logging_2026/klagomålsmail/A 20295-2024 FSC-klagomål mail.docx", "A 20295-2024")</f>
        <v/>
      </c>
      <c r="X33">
        <f>HYPERLINK("https://klasma.github.io/Logging_2026/tillsyn/A 20295-2024 tillsynsbegäran.docx", "A 20295-2024")</f>
        <v/>
      </c>
      <c r="Y33">
        <f>HYPERLINK("https://klasma.github.io/Logging_2026/tillsynsmail/A 20295-2024 tillsynsbegäran mail.docx", "A 20295-2024")</f>
        <v/>
      </c>
    </row>
    <row r="34" ht="15" customHeight="1">
      <c r="A34" t="inlineStr">
        <is>
          <t>A 27984-2024</t>
        </is>
      </c>
      <c r="B34" s="1" t="n">
        <v>45476</v>
      </c>
      <c r="C34" s="1" t="n">
        <v>45566</v>
      </c>
      <c r="D34" t="inlineStr">
        <is>
          <t>DALARNAS LÄN</t>
        </is>
      </c>
      <c r="E34" t="inlineStr">
        <is>
          <t>GAGNEF</t>
        </is>
      </c>
      <c r="G34" t="n">
        <v>15.5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HYPERLINK("https://klasma.github.io/Logging_2026/artfynd/A 27984-2024 artfynd.xlsx", "A 27984-2024")</f>
        <v/>
      </c>
      <c r="T34">
        <f>HYPERLINK("https://klasma.github.io/Logging_2026/kartor/A 27984-2024 karta.png", "A 27984-2024")</f>
        <v/>
      </c>
      <c r="V34">
        <f>HYPERLINK("https://klasma.github.io/Logging_2026/klagomål/A 27984-2024 FSC-klagomål.docx", "A 27984-2024")</f>
        <v/>
      </c>
      <c r="W34">
        <f>HYPERLINK("https://klasma.github.io/Logging_2026/klagomålsmail/A 27984-2024 FSC-klagomål mail.docx", "A 27984-2024")</f>
        <v/>
      </c>
      <c r="X34">
        <f>HYPERLINK("https://klasma.github.io/Logging_2026/tillsyn/A 27984-2024 tillsynsbegäran.docx", "A 27984-2024")</f>
        <v/>
      </c>
      <c r="Y34">
        <f>HYPERLINK("https://klasma.github.io/Logging_2026/tillsynsmail/A 27984-2024 tillsynsbegäran mail.docx", "A 27984-2024")</f>
        <v/>
      </c>
      <c r="Z34">
        <f>HYPERLINK("https://klasma.github.io/Logging_2026/fåglar/A 27984-2024 prioriterade fågelarter.docx", "A 27984-2024")</f>
        <v/>
      </c>
    </row>
    <row r="35" ht="15" customHeight="1">
      <c r="A35" t="inlineStr">
        <is>
          <t>A 28550-2024</t>
        </is>
      </c>
      <c r="B35" s="1" t="n">
        <v>45478</v>
      </c>
      <c r="C35" s="1" t="n">
        <v>45566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Citronporing</t>
        </is>
      </c>
      <c r="S35">
        <f>HYPERLINK("https://klasma.github.io/Logging_2026/artfynd/A 28550-2024 artfynd.xlsx", "A 28550-2024")</f>
        <v/>
      </c>
      <c r="T35">
        <f>HYPERLINK("https://klasma.github.io/Logging_2026/kartor/A 28550-2024 karta.png", "A 28550-2024")</f>
        <v/>
      </c>
      <c r="V35">
        <f>HYPERLINK("https://klasma.github.io/Logging_2026/klagomål/A 28550-2024 FSC-klagomål.docx", "A 28550-2024")</f>
        <v/>
      </c>
      <c r="W35">
        <f>HYPERLINK("https://klasma.github.io/Logging_2026/klagomålsmail/A 28550-2024 FSC-klagomål mail.docx", "A 28550-2024")</f>
        <v/>
      </c>
      <c r="X35">
        <f>HYPERLINK("https://klasma.github.io/Logging_2026/tillsyn/A 28550-2024 tillsynsbegäran.docx", "A 28550-2024")</f>
        <v/>
      </c>
      <c r="Y35">
        <f>HYPERLINK("https://klasma.github.io/Logging_2026/tillsynsmail/A 28550-2024 tillsynsbegäran mail.docx", "A 28550-2024")</f>
        <v/>
      </c>
    </row>
    <row r="36" ht="15" customHeight="1">
      <c r="A36" t="inlineStr">
        <is>
          <t>A 18339-2019</t>
        </is>
      </c>
      <c r="B36" s="1" t="n">
        <v>43559</v>
      </c>
      <c r="C36" s="1" t="n">
        <v>45566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19154-2019</t>
        </is>
      </c>
      <c r="B37" s="1" t="n">
        <v>43564</v>
      </c>
      <c r="C37" s="1" t="n">
        <v>45566</v>
      </c>
      <c r="D37" t="inlineStr">
        <is>
          <t>DALARNAS LÄN</t>
        </is>
      </c>
      <c r="E37" t="inlineStr">
        <is>
          <t>GAGNEF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21900-2019</t>
        </is>
      </c>
      <c r="B38" s="1" t="n">
        <v>43578</v>
      </c>
      <c r="C38" s="1" t="n">
        <v>45566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22881-2019</t>
        </is>
      </c>
      <c r="B39" s="1" t="n">
        <v>43591</v>
      </c>
      <c r="C39" s="1" t="n">
        <v>45566</v>
      </c>
      <c r="D39" t="inlineStr">
        <is>
          <t>DALARNAS LÄN</t>
        </is>
      </c>
      <c r="E39" t="inlineStr">
        <is>
          <t>GAGNEF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23757-2019</t>
        </is>
      </c>
      <c r="B40" s="1" t="n">
        <v>43594</v>
      </c>
      <c r="C40" s="1" t="n">
        <v>45566</v>
      </c>
      <c r="D40" t="inlineStr">
        <is>
          <t>DALARNAS LÄN</t>
        </is>
      </c>
      <c r="E40" t="inlineStr">
        <is>
          <t>GAGNEF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24087-2019</t>
        </is>
      </c>
      <c r="B41" s="1" t="n">
        <v>43598</v>
      </c>
      <c r="C41" s="1" t="n">
        <v>45566</v>
      </c>
      <c r="D41" t="inlineStr">
        <is>
          <t>DALARNAS LÄN</t>
        </is>
      </c>
      <c r="E41" t="inlineStr">
        <is>
          <t>GAGNEF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24626-2019</t>
        </is>
      </c>
      <c r="B42" s="1" t="n">
        <v>43601</v>
      </c>
      <c r="C42" s="1" t="n">
        <v>45566</v>
      </c>
      <c r="D42" t="inlineStr">
        <is>
          <t>DALARNAS LÄN</t>
        </is>
      </c>
      <c r="E42" t="inlineStr">
        <is>
          <t>GAGNEF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24735-2019</t>
        </is>
      </c>
      <c r="B43" s="1" t="n">
        <v>43601</v>
      </c>
      <c r="C43" s="1" t="n">
        <v>45566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25055-2019</t>
        </is>
      </c>
      <c r="B44" s="1" t="n">
        <v>43604</v>
      </c>
      <c r="C44" s="1" t="n">
        <v>45566</v>
      </c>
      <c r="D44" t="inlineStr">
        <is>
          <t>DALARNAS LÄN</t>
        </is>
      </c>
      <c r="E44" t="inlineStr">
        <is>
          <t>GAGNEF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25196-2019</t>
        </is>
      </c>
      <c r="B45" s="1" t="n">
        <v>43605</v>
      </c>
      <c r="C45" s="1" t="n">
        <v>45566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25249-2019</t>
        </is>
      </c>
      <c r="B46" s="1" t="n">
        <v>43605</v>
      </c>
      <c r="C46" s="1" t="n">
        <v>45566</v>
      </c>
      <c r="D46" t="inlineStr">
        <is>
          <t>DALARNAS LÄN</t>
        </is>
      </c>
      <c r="E46" t="inlineStr">
        <is>
          <t>GAGNEF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25710-2019</t>
        </is>
      </c>
      <c r="B47" s="1" t="n">
        <v>43607</v>
      </c>
      <c r="C47" s="1" t="n">
        <v>45566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26591-2019</t>
        </is>
      </c>
      <c r="B48" s="1" t="n">
        <v>43612</v>
      </c>
      <c r="C48" s="1" t="n">
        <v>45566</v>
      </c>
      <c r="D48" t="inlineStr">
        <is>
          <t>DALARNAS LÄN</t>
        </is>
      </c>
      <c r="E48" t="inlineStr">
        <is>
          <t>GAGNEF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28924-2019</t>
        </is>
      </c>
      <c r="B49" s="1" t="n">
        <v>43619</v>
      </c>
      <c r="C49" s="1" t="n">
        <v>45566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28001-2019</t>
        </is>
      </c>
      <c r="B50" s="1" t="n">
        <v>43621</v>
      </c>
      <c r="C50" s="1" t="n">
        <v>45566</v>
      </c>
      <c r="D50" t="inlineStr">
        <is>
          <t>DALARNAS LÄN</t>
        </is>
      </c>
      <c r="E50" t="inlineStr">
        <is>
          <t>GAGNEF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29827-2019</t>
        </is>
      </c>
      <c r="B51" s="1" t="n">
        <v>43633</v>
      </c>
      <c r="C51" s="1" t="n">
        <v>45566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30522-2019</t>
        </is>
      </c>
      <c r="B52" s="1" t="n">
        <v>43635</v>
      </c>
      <c r="C52" s="1" t="n">
        <v>45566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31365-2019</t>
        </is>
      </c>
      <c r="B53" s="1" t="n">
        <v>43636</v>
      </c>
      <c r="C53" s="1" t="n">
        <v>45566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30734-2019</t>
        </is>
      </c>
      <c r="B54" s="1" t="n">
        <v>43636</v>
      </c>
      <c r="C54" s="1" t="n">
        <v>45566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31170-2019</t>
        </is>
      </c>
      <c r="B55" s="1" t="n">
        <v>43640</v>
      </c>
      <c r="C55" s="1" t="n">
        <v>45566</v>
      </c>
      <c r="D55" t="inlineStr">
        <is>
          <t>DALARNAS LÄN</t>
        </is>
      </c>
      <c r="E55" t="inlineStr">
        <is>
          <t>GAGNEF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31247-2019</t>
        </is>
      </c>
      <c r="B56" s="1" t="n">
        <v>43640</v>
      </c>
      <c r="C56" s="1" t="n">
        <v>45566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31455-2019</t>
        </is>
      </c>
      <c r="B57" s="1" t="n">
        <v>43641</v>
      </c>
      <c r="C57" s="1" t="n">
        <v>45566</v>
      </c>
      <c r="D57" t="inlineStr">
        <is>
          <t>DALARNAS LÄN</t>
        </is>
      </c>
      <c r="E57" t="inlineStr">
        <is>
          <t>GAGNEF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31732-2019</t>
        </is>
      </c>
      <c r="B58" s="1" t="n">
        <v>43642</v>
      </c>
      <c r="C58" s="1" t="n">
        <v>45566</v>
      </c>
      <c r="D58" t="inlineStr">
        <is>
          <t>DALARNAS LÄN</t>
        </is>
      </c>
      <c r="E58" t="inlineStr">
        <is>
          <t>GAGNEF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31823-2019</t>
        </is>
      </c>
      <c r="B59" s="1" t="n">
        <v>43642</v>
      </c>
      <c r="C59" s="1" t="n">
        <v>45566</v>
      </c>
      <c r="D59" t="inlineStr">
        <is>
          <t>DALARNAS LÄN</t>
        </is>
      </c>
      <c r="E59" t="inlineStr">
        <is>
          <t>GAGNEF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32463-2019</t>
        </is>
      </c>
      <c r="B60" s="1" t="n">
        <v>43644</v>
      </c>
      <c r="C60" s="1" t="n">
        <v>45566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32326-2019</t>
        </is>
      </c>
      <c r="B61" s="1" t="n">
        <v>43644</v>
      </c>
      <c r="C61" s="1" t="n">
        <v>45566</v>
      </c>
      <c r="D61" t="inlineStr">
        <is>
          <t>DALARNAS LÄN</t>
        </is>
      </c>
      <c r="E61" t="inlineStr">
        <is>
          <t>GAGNEF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32922-2019</t>
        </is>
      </c>
      <c r="B62" s="1" t="n">
        <v>43648</v>
      </c>
      <c r="C62" s="1" t="n">
        <v>45566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33227-2019</t>
        </is>
      </c>
      <c r="B63" s="1" t="n">
        <v>43650</v>
      </c>
      <c r="C63" s="1" t="n">
        <v>45566</v>
      </c>
      <c r="D63" t="inlineStr">
        <is>
          <t>DALARNAS LÄN</t>
        </is>
      </c>
      <c r="E63" t="inlineStr">
        <is>
          <t>GAGNEF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33229-2019</t>
        </is>
      </c>
      <c r="B64" s="1" t="n">
        <v>43650</v>
      </c>
      <c r="C64" s="1" t="n">
        <v>45566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33767-2019</t>
        </is>
      </c>
      <c r="B65" s="1" t="n">
        <v>43651</v>
      </c>
      <c r="C65" s="1" t="n">
        <v>45566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34161-2019</t>
        </is>
      </c>
      <c r="B66" s="1" t="n">
        <v>43655</v>
      </c>
      <c r="C66" s="1" t="n">
        <v>45566</v>
      </c>
      <c r="D66" t="inlineStr">
        <is>
          <t>DALARNAS LÄN</t>
        </is>
      </c>
      <c r="E66" t="inlineStr">
        <is>
          <t>GAGNEF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34404-2019</t>
        </is>
      </c>
      <c r="B67" s="1" t="n">
        <v>43656</v>
      </c>
      <c r="C67" s="1" t="n">
        <v>45566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36797-2019</t>
        </is>
      </c>
      <c r="B68" s="1" t="n">
        <v>43672</v>
      </c>
      <c r="C68" s="1" t="n">
        <v>45566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36798-2019</t>
        </is>
      </c>
      <c r="B69" s="1" t="n">
        <v>43672</v>
      </c>
      <c r="C69" s="1" t="n">
        <v>45566</v>
      </c>
      <c r="D69" t="inlineStr">
        <is>
          <t>DALARNAS LÄN</t>
        </is>
      </c>
      <c r="E69" t="inlineStr">
        <is>
          <t>GAGNEF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36933-2019</t>
        </is>
      </c>
      <c r="B70" s="1" t="n">
        <v>43675</v>
      </c>
      <c r="C70" s="1" t="n">
        <v>45566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38282-2019</t>
        </is>
      </c>
      <c r="B71" s="1" t="n">
        <v>43684</v>
      </c>
      <c r="C71" s="1" t="n">
        <v>45566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38370-2019</t>
        </is>
      </c>
      <c r="B72" s="1" t="n">
        <v>43685</v>
      </c>
      <c r="C72" s="1" t="n">
        <v>45566</v>
      </c>
      <c r="D72" t="inlineStr">
        <is>
          <t>DALARNAS LÄN</t>
        </is>
      </c>
      <c r="E72" t="inlineStr">
        <is>
          <t>GAGNEF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40035-2019</t>
        </is>
      </c>
      <c r="B73" s="1" t="n">
        <v>43693</v>
      </c>
      <c r="C73" s="1" t="n">
        <v>45566</v>
      </c>
      <c r="D73" t="inlineStr">
        <is>
          <t>DALARNAS LÄN</t>
        </is>
      </c>
      <c r="E73" t="inlineStr">
        <is>
          <t>GAGNEF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41853-2019</t>
        </is>
      </c>
      <c r="B74" s="1" t="n">
        <v>43700</v>
      </c>
      <c r="C74" s="1" t="n">
        <v>45566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44384-2019</t>
        </is>
      </c>
      <c r="B75" s="1" t="n">
        <v>43705</v>
      </c>
      <c r="C75" s="1" t="n">
        <v>45566</v>
      </c>
      <c r="D75" t="inlineStr">
        <is>
          <t>DALARNAS LÄN</t>
        </is>
      </c>
      <c r="E75" t="inlineStr">
        <is>
          <t>GAGNEF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46167-2019</t>
        </is>
      </c>
      <c r="B76" s="1" t="n">
        <v>43712</v>
      </c>
      <c r="C76" s="1" t="n">
        <v>45566</v>
      </c>
      <c r="D76" t="inlineStr">
        <is>
          <t>DALARNAS LÄN</t>
        </is>
      </c>
      <c r="E76" t="inlineStr">
        <is>
          <t>GAGNEF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47273-2019</t>
        </is>
      </c>
      <c r="B77" s="1" t="n">
        <v>43721</v>
      </c>
      <c r="C77" s="1" t="n">
        <v>45566</v>
      </c>
      <c r="D77" t="inlineStr">
        <is>
          <t>DALARNAS LÄN</t>
        </is>
      </c>
      <c r="E77" t="inlineStr">
        <is>
          <t>GAGNEF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51872-2019</t>
        </is>
      </c>
      <c r="B78" s="1" t="n">
        <v>43741</v>
      </c>
      <c r="C78" s="1" t="n">
        <v>45566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52163-2019</t>
        </is>
      </c>
      <c r="B79" s="1" t="n">
        <v>43742</v>
      </c>
      <c r="C79" s="1" t="n">
        <v>45566</v>
      </c>
      <c r="D79" t="inlineStr">
        <is>
          <t>DALARNAS LÄN</t>
        </is>
      </c>
      <c r="E79" t="inlineStr">
        <is>
          <t>GAGNEF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52495-2019</t>
        </is>
      </c>
      <c r="B80" s="1" t="n">
        <v>43745</v>
      </c>
      <c r="C80" s="1" t="n">
        <v>45566</v>
      </c>
      <c r="D80" t="inlineStr">
        <is>
          <t>DALARNAS LÄN</t>
        </is>
      </c>
      <c r="E80" t="inlineStr">
        <is>
          <t>GAGNEF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52298-2019</t>
        </is>
      </c>
      <c r="B81" s="1" t="n">
        <v>43745</v>
      </c>
      <c r="C81" s="1" t="n">
        <v>45566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52746-2019</t>
        </is>
      </c>
      <c r="B82" s="1" t="n">
        <v>43746</v>
      </c>
      <c r="C82" s="1" t="n">
        <v>45566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55213-2019</t>
        </is>
      </c>
      <c r="B83" s="1" t="n">
        <v>43756</v>
      </c>
      <c r="C83" s="1" t="n">
        <v>45566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56264-2019</t>
        </is>
      </c>
      <c r="B84" s="1" t="n">
        <v>43762</v>
      </c>
      <c r="C84" s="1" t="n">
        <v>45566</v>
      </c>
      <c r="D84" t="inlineStr">
        <is>
          <t>DALARNAS LÄN</t>
        </is>
      </c>
      <c r="E84" t="inlineStr">
        <is>
          <t>GAGNEF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56714-2019</t>
        </is>
      </c>
      <c r="B85" s="1" t="n">
        <v>43763</v>
      </c>
      <c r="C85" s="1" t="n">
        <v>45566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57728-2019</t>
        </is>
      </c>
      <c r="B86" s="1" t="n">
        <v>43768</v>
      </c>
      <c r="C86" s="1" t="n">
        <v>45566</v>
      </c>
      <c r="D86" t="inlineStr">
        <is>
          <t>DALARNAS LÄN</t>
        </is>
      </c>
      <c r="E86" t="inlineStr">
        <is>
          <t>GAGNEF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58336-2019</t>
        </is>
      </c>
      <c r="B87" s="1" t="n">
        <v>43770</v>
      </c>
      <c r="C87" s="1" t="n">
        <v>45566</v>
      </c>
      <c r="D87" t="inlineStr">
        <is>
          <t>DALARNAS LÄN</t>
        </is>
      </c>
      <c r="E87" t="inlineStr">
        <is>
          <t>GAGNEF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60629-2019</t>
        </is>
      </c>
      <c r="B88" s="1" t="n">
        <v>43781</v>
      </c>
      <c r="C88" s="1" t="n">
        <v>45566</v>
      </c>
      <c r="D88" t="inlineStr">
        <is>
          <t>DALARNAS LÄN</t>
        </is>
      </c>
      <c r="E88" t="inlineStr">
        <is>
          <t>GAGNEF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62307-2019</t>
        </is>
      </c>
      <c r="B89" s="1" t="n">
        <v>43788</v>
      </c>
      <c r="C89" s="1" t="n">
        <v>45566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65118-2019</t>
        </is>
      </c>
      <c r="B90" s="1" t="n">
        <v>43802</v>
      </c>
      <c r="C90" s="1" t="n">
        <v>45566</v>
      </c>
      <c r="D90" t="inlineStr">
        <is>
          <t>DALARNAS LÄN</t>
        </is>
      </c>
      <c r="E90" t="inlineStr">
        <is>
          <t>GAGNEF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66716-2019</t>
        </is>
      </c>
      <c r="B91" s="1" t="n">
        <v>43809</v>
      </c>
      <c r="C91" s="1" t="n">
        <v>45566</v>
      </c>
      <c r="D91" t="inlineStr">
        <is>
          <t>DALARNAS LÄN</t>
        </is>
      </c>
      <c r="E91" t="inlineStr">
        <is>
          <t>GAGNEF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67948-2019</t>
        </is>
      </c>
      <c r="B92" s="1" t="n">
        <v>43811</v>
      </c>
      <c r="C92" s="1" t="n">
        <v>45566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67999-2019</t>
        </is>
      </c>
      <c r="B93" s="1" t="n">
        <v>43816</v>
      </c>
      <c r="C93" s="1" t="n">
        <v>45566</v>
      </c>
      <c r="D93" t="inlineStr">
        <is>
          <t>DALARNAS LÄN</t>
        </is>
      </c>
      <c r="E93" t="inlineStr">
        <is>
          <t>GAGNEF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68547-2019</t>
        </is>
      </c>
      <c r="B94" s="1" t="n">
        <v>43818</v>
      </c>
      <c r="C94" s="1" t="n">
        <v>45566</v>
      </c>
      <c r="D94" t="inlineStr">
        <is>
          <t>DALARNAS LÄN</t>
        </is>
      </c>
      <c r="E94" t="inlineStr">
        <is>
          <t>GAGNEF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1993-2020</t>
        </is>
      </c>
      <c r="B95" s="1" t="n">
        <v>43845</v>
      </c>
      <c r="C95" s="1" t="n">
        <v>45566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3436-2020</t>
        </is>
      </c>
      <c r="B96" s="1" t="n">
        <v>43845</v>
      </c>
      <c r="C96" s="1" t="n">
        <v>45566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2904-2020</t>
        </is>
      </c>
      <c r="B97" s="1" t="n">
        <v>43850</v>
      </c>
      <c r="C97" s="1" t="n">
        <v>45566</v>
      </c>
      <c r="D97" t="inlineStr">
        <is>
          <t>DALARNAS LÄN</t>
        </is>
      </c>
      <c r="E97" t="inlineStr">
        <is>
          <t>GAGNEF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5690-2020</t>
        </is>
      </c>
      <c r="B98" s="1" t="n">
        <v>43861</v>
      </c>
      <c r="C98" s="1" t="n">
        <v>45566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6451-2020</t>
        </is>
      </c>
      <c r="B99" s="1" t="n">
        <v>43866</v>
      </c>
      <c r="C99" s="1" t="n">
        <v>45566</v>
      </c>
      <c r="D99" t="inlineStr">
        <is>
          <t>DALARNAS LÄN</t>
        </is>
      </c>
      <c r="E99" t="inlineStr">
        <is>
          <t>GAGNEF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6993-2020</t>
        </is>
      </c>
      <c r="B100" s="1" t="n">
        <v>43868</v>
      </c>
      <c r="C100" s="1" t="n">
        <v>45566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9169-2020</t>
        </is>
      </c>
      <c r="B101" s="1" t="n">
        <v>43879</v>
      </c>
      <c r="C101" s="1" t="n">
        <v>45566</v>
      </c>
      <c r="D101" t="inlineStr">
        <is>
          <t>DALARNAS LÄN</t>
        </is>
      </c>
      <c r="E101" t="inlineStr">
        <is>
          <t>GAGNEF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16736-2020</t>
        </is>
      </c>
      <c r="B102" s="1" t="n">
        <v>43920</v>
      </c>
      <c r="C102" s="1" t="n">
        <v>45566</v>
      </c>
      <c r="D102" t="inlineStr">
        <is>
          <t>DALARNAS LÄN</t>
        </is>
      </c>
      <c r="E102" t="inlineStr">
        <is>
          <t>GAGNEF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16995-2020</t>
        </is>
      </c>
      <c r="B103" s="1" t="n">
        <v>43921</v>
      </c>
      <c r="C103" s="1" t="n">
        <v>45566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18496-2020</t>
        </is>
      </c>
      <c r="B104" s="1" t="n">
        <v>43929</v>
      </c>
      <c r="C104" s="1" t="n">
        <v>45566</v>
      </c>
      <c r="D104" t="inlineStr">
        <is>
          <t>DALARNAS LÄN</t>
        </is>
      </c>
      <c r="E104" t="inlineStr">
        <is>
          <t>GAGNEF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18622-2020</t>
        </is>
      </c>
      <c r="B105" s="1" t="n">
        <v>43930</v>
      </c>
      <c r="C105" s="1" t="n">
        <v>45566</v>
      </c>
      <c r="D105" t="inlineStr">
        <is>
          <t>DALARNAS LÄN</t>
        </is>
      </c>
      <c r="E105" t="inlineStr">
        <is>
          <t>GAGNEF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21319-2020</t>
        </is>
      </c>
      <c r="B106" s="1" t="n">
        <v>43955</v>
      </c>
      <c r="C106" s="1" t="n">
        <v>45566</v>
      </c>
      <c r="D106" t="inlineStr">
        <is>
          <t>DALARNAS LÄN</t>
        </is>
      </c>
      <c r="E106" t="inlineStr">
        <is>
          <t>GAGNEF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23390-2020</t>
        </is>
      </c>
      <c r="B107" s="1" t="n">
        <v>43968</v>
      </c>
      <c r="C107" s="1" t="n">
        <v>45566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25312-2020</t>
        </is>
      </c>
      <c r="B108" s="1" t="n">
        <v>43980</v>
      </c>
      <c r="C108" s="1" t="n">
        <v>45566</v>
      </c>
      <c r="D108" t="inlineStr">
        <is>
          <t>DALARNAS LÄN</t>
        </is>
      </c>
      <c r="E108" t="inlineStr">
        <is>
          <t>GAGNEF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26658-2020</t>
        </is>
      </c>
      <c r="B109" s="1" t="n">
        <v>43989</v>
      </c>
      <c r="C109" s="1" t="n">
        <v>45566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28810-2020</t>
        </is>
      </c>
      <c r="B110" s="1" t="n">
        <v>44000</v>
      </c>
      <c r="C110" s="1" t="n">
        <v>45566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29519-2020</t>
        </is>
      </c>
      <c r="B111" s="1" t="n">
        <v>44005</v>
      </c>
      <c r="C111" s="1" t="n">
        <v>45566</v>
      </c>
      <c r="D111" t="inlineStr">
        <is>
          <t>DALARNAS LÄN</t>
        </is>
      </c>
      <c r="E111" t="inlineStr">
        <is>
          <t>GAGNEF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31601-2020</t>
        </is>
      </c>
      <c r="B112" s="1" t="n">
        <v>44013</v>
      </c>
      <c r="C112" s="1" t="n">
        <v>45566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31943-2020</t>
        </is>
      </c>
      <c r="B113" s="1" t="n">
        <v>44014</v>
      </c>
      <c r="C113" s="1" t="n">
        <v>45566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31945-2020</t>
        </is>
      </c>
      <c r="B114" s="1" t="n">
        <v>44014</v>
      </c>
      <c r="C114" s="1" t="n">
        <v>45566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32073-2020</t>
        </is>
      </c>
      <c r="B115" s="1" t="n">
        <v>44015</v>
      </c>
      <c r="C115" s="1" t="n">
        <v>45566</v>
      </c>
      <c r="D115" t="inlineStr">
        <is>
          <t>DALARNAS LÄN</t>
        </is>
      </c>
      <c r="E115" t="inlineStr">
        <is>
          <t>GAGNEF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35440-2020</t>
        </is>
      </c>
      <c r="B116" s="1" t="n">
        <v>44042</v>
      </c>
      <c r="C116" s="1" t="n">
        <v>45566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36910-2020</t>
        </is>
      </c>
      <c r="B117" s="1" t="n">
        <v>44053</v>
      </c>
      <c r="C117" s="1" t="n">
        <v>45566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42433-2020</t>
        </is>
      </c>
      <c r="B118" s="1" t="n">
        <v>44076</v>
      </c>
      <c r="C118" s="1" t="n">
        <v>45566</v>
      </c>
      <c r="D118" t="inlineStr">
        <is>
          <t>DALARNAS LÄN</t>
        </is>
      </c>
      <c r="E118" t="inlineStr">
        <is>
          <t>GAGNEF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42575-2020</t>
        </is>
      </c>
      <c r="B119" s="1" t="n">
        <v>44077</v>
      </c>
      <c r="C119" s="1" t="n">
        <v>45566</v>
      </c>
      <c r="D119" t="inlineStr">
        <is>
          <t>DALARNAS LÄN</t>
        </is>
      </c>
      <c r="E119" t="inlineStr">
        <is>
          <t>GAGNEF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42874-2020</t>
        </is>
      </c>
      <c r="B120" s="1" t="n">
        <v>44078</v>
      </c>
      <c r="C120" s="1" t="n">
        <v>45566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43301-2020</t>
        </is>
      </c>
      <c r="B121" s="1" t="n">
        <v>44081</v>
      </c>
      <c r="C121" s="1" t="n">
        <v>45566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43296-2020</t>
        </is>
      </c>
      <c r="B122" s="1" t="n">
        <v>44081</v>
      </c>
      <c r="C122" s="1" t="n">
        <v>45566</v>
      </c>
      <c r="D122" t="inlineStr">
        <is>
          <t>DALARNAS LÄN</t>
        </is>
      </c>
      <c r="E122" t="inlineStr">
        <is>
          <t>GAGNEF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44641-2020</t>
        </is>
      </c>
      <c r="B123" s="1" t="n">
        <v>44085</v>
      </c>
      <c r="C123" s="1" t="n">
        <v>45566</v>
      </c>
      <c r="D123" t="inlineStr">
        <is>
          <t>DALARNAS LÄN</t>
        </is>
      </c>
      <c r="E123" t="inlineStr">
        <is>
          <t>GAGNEF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45340-2020</t>
        </is>
      </c>
      <c r="B124" s="1" t="n">
        <v>44089</v>
      </c>
      <c r="C124" s="1" t="n">
        <v>45566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48504-2020</t>
        </is>
      </c>
      <c r="B125" s="1" t="n">
        <v>44103</v>
      </c>
      <c r="C125" s="1" t="n">
        <v>45566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50505-2020</t>
        </is>
      </c>
      <c r="B126" s="1" t="n">
        <v>44110</v>
      </c>
      <c r="C126" s="1" t="n">
        <v>45566</v>
      </c>
      <c r="D126" t="inlineStr">
        <is>
          <t>DALARNAS LÄN</t>
        </is>
      </c>
      <c r="E126" t="inlineStr">
        <is>
          <t>GAGNEF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50758-2020</t>
        </is>
      </c>
      <c r="B127" s="1" t="n">
        <v>44111</v>
      </c>
      <c r="C127" s="1" t="n">
        <v>45566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51474-2020</t>
        </is>
      </c>
      <c r="B128" s="1" t="n">
        <v>44113</v>
      </c>
      <c r="C128" s="1" t="n">
        <v>45566</v>
      </c>
      <c r="D128" t="inlineStr">
        <is>
          <t>DALARNAS LÄN</t>
        </is>
      </c>
      <c r="E128" t="inlineStr">
        <is>
          <t>GAGNEF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54336-2020</t>
        </is>
      </c>
      <c r="B129" s="1" t="n">
        <v>44126</v>
      </c>
      <c r="C129" s="1" t="n">
        <v>45566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55502-2020</t>
        </is>
      </c>
      <c r="B130" s="1" t="n">
        <v>44131</v>
      </c>
      <c r="C130" s="1" t="n">
        <v>45566</v>
      </c>
      <c r="D130" t="inlineStr">
        <is>
          <t>DALARNAS LÄN</t>
        </is>
      </c>
      <c r="E130" t="inlineStr">
        <is>
          <t>GAGNEF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58133-2020</t>
        </is>
      </c>
      <c r="B131" s="1" t="n">
        <v>44144</v>
      </c>
      <c r="C131" s="1" t="n">
        <v>45566</v>
      </c>
      <c r="D131" t="inlineStr">
        <is>
          <t>DALARNAS LÄN</t>
        </is>
      </c>
      <c r="E131" t="inlineStr">
        <is>
          <t>GAGNEF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58424-2020</t>
        </is>
      </c>
      <c r="B132" s="1" t="n">
        <v>44145</v>
      </c>
      <c r="C132" s="1" t="n">
        <v>45566</v>
      </c>
      <c r="D132" t="inlineStr">
        <is>
          <t>DALARNAS LÄN</t>
        </is>
      </c>
      <c r="E132" t="inlineStr">
        <is>
          <t>GAGNEF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61084-2020</t>
        </is>
      </c>
      <c r="B133" s="1" t="n">
        <v>44154</v>
      </c>
      <c r="C133" s="1" t="n">
        <v>45566</v>
      </c>
      <c r="D133" t="inlineStr">
        <is>
          <t>DALARNAS LÄN</t>
        </is>
      </c>
      <c r="E133" t="inlineStr">
        <is>
          <t>GAGNEF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63131-2020</t>
        </is>
      </c>
      <c r="B134" s="1" t="n">
        <v>44162</v>
      </c>
      <c r="C134" s="1" t="n">
        <v>45566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63585-2020</t>
        </is>
      </c>
      <c r="B135" s="1" t="n">
        <v>44165</v>
      </c>
      <c r="C135" s="1" t="n">
        <v>45566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65148-2020</t>
        </is>
      </c>
      <c r="B136" s="1" t="n">
        <v>44172</v>
      </c>
      <c r="C136" s="1" t="n">
        <v>45566</v>
      </c>
      <c r="D136" t="inlineStr">
        <is>
          <t>DALARNAS LÄN</t>
        </is>
      </c>
      <c r="E136" t="inlineStr">
        <is>
          <t>GAGNEF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65526-2020</t>
        </is>
      </c>
      <c r="B137" s="1" t="n">
        <v>44172</v>
      </c>
      <c r="C137" s="1" t="n">
        <v>45566</v>
      </c>
      <c r="D137" t="inlineStr">
        <is>
          <t>DALARNAS LÄN</t>
        </is>
      </c>
      <c r="E137" t="inlineStr">
        <is>
          <t>GAGNEF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45566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45566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45566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45566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45566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45566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45566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45566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45566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45566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45566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45566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45566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45566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45566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45566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45566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45566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45566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45566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45566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45566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45566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45566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45566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45566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45566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45566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45566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45566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45566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45566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45566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45566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45566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45566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45566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45566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45566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45566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45566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45566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45566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45566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45566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45566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45566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45566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45566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45566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45566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45566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45566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45566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45566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45566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45566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45566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45566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45566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45566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45566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45566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45566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45566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45566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45566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45566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45566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45566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45566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45566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45566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45566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45566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45566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45566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45566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45566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45566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45566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45566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45566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45566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45566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45566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45566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45566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45566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45566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45566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45566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45566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45566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45566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45566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45566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45566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45566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45566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45566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45566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45566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45566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45566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45566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45566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45566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45566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45566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45566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45566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45566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45566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45566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45566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45566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45566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45566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45566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45566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45566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45566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45566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45566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45566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45566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45566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45566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45566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45566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45566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45566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45566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45566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45566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45566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45566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45566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45566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45566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45566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45566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45566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45566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45566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45566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45566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45566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45566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45566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45566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45566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45566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45566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45566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45566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45566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45566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45566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45566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45566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45566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45566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45566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45566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45566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45566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45566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45566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45566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45566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45566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45566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45566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45566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45566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45566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45566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45566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45566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45566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45566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45566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45566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45566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45566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45566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45566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45566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45566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45566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45566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45566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45566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45566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45566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45566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45566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45566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45566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45566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45566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45566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45566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45566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45566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45566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45566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45566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45566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45566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45566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45566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45566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45566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45566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45566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45566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45566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45566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45566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45566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45566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45566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45566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45566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45566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45566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45566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45566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45566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45566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45566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45566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45566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45566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45566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45566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45566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45566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45566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45566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45566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45566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45566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45566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45566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45566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45566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45566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45566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45566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45566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45566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45566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45566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45566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45566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45566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45566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45566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45566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45566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45566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45566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45566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45566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45566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45566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45566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45566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45566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45566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45566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45566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45566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45566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45566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45566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45566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45566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45566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45566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45566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45566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45566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45566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45566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45566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45566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45566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45566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45566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45566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45566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45566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45566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45566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45566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45566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45566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45566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45566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45566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45566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45566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45566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45566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45566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45566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45566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45566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45566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45566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45566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45566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45566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45566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45566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45566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45566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45566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45566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45566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45566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45566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45566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45566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45566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45566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45566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45566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45566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45566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45566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45566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38422-2024</t>
        </is>
      </c>
      <c r="B475" s="1" t="n">
        <v>45546</v>
      </c>
      <c r="C475" s="1" t="n">
        <v>45566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38426-2024</t>
        </is>
      </c>
      <c r="B476" s="1" t="n">
        <v>45546</v>
      </c>
      <c r="C476" s="1" t="n">
        <v>45566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38444-2024</t>
        </is>
      </c>
      <c r="B477" s="1" t="n">
        <v>45546</v>
      </c>
      <c r="C477" s="1" t="n">
        <v>45566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45566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39380-2024</t>
        </is>
      </c>
      <c r="B479" s="1" t="n">
        <v>45551</v>
      </c>
      <c r="C479" s="1" t="n">
        <v>45566</v>
      </c>
      <c r="D479" t="inlineStr">
        <is>
          <t>DALARNAS LÄN</t>
        </is>
      </c>
      <c r="E479" t="inlineStr">
        <is>
          <t>GAGNEF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39385-2024</t>
        </is>
      </c>
      <c r="B480" s="1" t="n">
        <v>45551</v>
      </c>
      <c r="C480" s="1" t="n">
        <v>45566</v>
      </c>
      <c r="D480" t="inlineStr">
        <is>
          <t>DALARNAS LÄN</t>
        </is>
      </c>
      <c r="E480" t="inlineStr">
        <is>
          <t>GAGNEF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39388-2024</t>
        </is>
      </c>
      <c r="B481" s="1" t="n">
        <v>45551</v>
      </c>
      <c r="C481" s="1" t="n">
        <v>45566</v>
      </c>
      <c r="D481" t="inlineStr">
        <is>
          <t>DALARNAS LÄN</t>
        </is>
      </c>
      <c r="E481" t="inlineStr">
        <is>
          <t>GAGNEF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45566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45566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45566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45566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42077-2024</t>
        </is>
      </c>
      <c r="B486" s="1" t="n">
        <v>45561</v>
      </c>
      <c r="C486" s="1" t="n">
        <v>45566</v>
      </c>
      <c r="D486" t="inlineStr">
        <is>
          <t>DALARNAS LÄN</t>
        </is>
      </c>
      <c r="E486" t="inlineStr">
        <is>
          <t>GAGNEF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45566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45566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42187-2024</t>
        </is>
      </c>
      <c r="B489" s="1" t="n">
        <v>45562</v>
      </c>
      <c r="C489" s="1" t="n">
        <v>45566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42607-2024</t>
        </is>
      </c>
      <c r="B490" s="1" t="n">
        <v>45565</v>
      </c>
      <c r="C490" s="1" t="n">
        <v>45566</v>
      </c>
      <c r="D490" t="inlineStr">
        <is>
          <t>DALARNAS LÄN</t>
        </is>
      </c>
      <c r="E490" t="inlineStr">
        <is>
          <t>GAGNEF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2024-10-01T12:14:44Z</dcterms:created>
  <dcterms:modified xmlns:dcterms="http://purl.org/dc/terms/" xmlns:xsi="http://www.w3.org/2001/XMLSchema-instance" xsi:type="dcterms:W3CDTF">2024-10-01T12:14:44Z</dcterms:modified>
</cp:coreProperties>
</file>