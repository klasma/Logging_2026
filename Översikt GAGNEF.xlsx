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46035</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46035</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46035</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47815-2024</t>
        </is>
      </c>
      <c r="B10" s="1" t="n">
        <v>45588.62069444444</v>
      </c>
      <c r="C10" s="1" t="n">
        <v>46035</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34418-2025</t>
        </is>
      </c>
      <c r="B11" s="1" t="n">
        <v>45846.65744212963</v>
      </c>
      <c r="C11" s="1" t="n">
        <v>46035</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46035</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63654-2023</t>
        </is>
      </c>
      <c r="B13" s="1" t="n">
        <v>45275</v>
      </c>
      <c r="C13" s="1" t="n">
        <v>46035</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52436-2024</t>
        </is>
      </c>
      <c r="B14" s="1" t="n">
        <v>45608</v>
      </c>
      <c r="C14" s="1" t="n">
        <v>46035</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22309-2021</t>
        </is>
      </c>
      <c r="B15" s="1" t="n">
        <v>44326</v>
      </c>
      <c r="C15" s="1" t="n">
        <v>46035</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46035</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46035</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64510-2021</t>
        </is>
      </c>
      <c r="B18" s="1" t="n">
        <v>44511</v>
      </c>
      <c r="C18" s="1" t="n">
        <v>46035</v>
      </c>
      <c r="D18" t="inlineStr">
        <is>
          <t>DALARNAS LÄN</t>
        </is>
      </c>
      <c r="E18" t="inlineStr">
        <is>
          <t>GAGNEF</t>
        </is>
      </c>
      <c r="G18" t="n">
        <v>2.7</v>
      </c>
      <c r="H18" t="n">
        <v>0</v>
      </c>
      <c r="I18" t="n">
        <v>0</v>
      </c>
      <c r="J18" t="n">
        <v>1</v>
      </c>
      <c r="K18" t="n">
        <v>0</v>
      </c>
      <c r="L18" t="n">
        <v>0</v>
      </c>
      <c r="M18" t="n">
        <v>0</v>
      </c>
      <c r="N18" t="n">
        <v>0</v>
      </c>
      <c r="O18" t="n">
        <v>1</v>
      </c>
      <c r="P18" t="n">
        <v>0</v>
      </c>
      <c r="Q18" t="n">
        <v>1</v>
      </c>
      <c r="R18" s="2" t="inlineStr">
        <is>
          <t>Grönhjon</t>
        </is>
      </c>
      <c r="S18">
        <f>HYPERLINK("https://klasma.github.io/Logging_2026/artfynd/A 64510-2021 artfynd.xlsx", "A 64510-2021")</f>
        <v/>
      </c>
      <c r="T18">
        <f>HYPERLINK("https://klasma.github.io/Logging_2026/kartor/A 64510-2021 karta.png", "A 64510-2021")</f>
        <v/>
      </c>
      <c r="V18">
        <f>HYPERLINK("https://klasma.github.io/Logging_2026/klagomål/A 64510-2021 FSC-klagomål.docx", "A 64510-2021")</f>
        <v/>
      </c>
      <c r="W18">
        <f>HYPERLINK("https://klasma.github.io/Logging_2026/klagomålsmail/A 64510-2021 FSC-klagomål mail.docx", "A 64510-2021")</f>
        <v/>
      </c>
      <c r="X18">
        <f>HYPERLINK("https://klasma.github.io/Logging_2026/tillsyn/A 64510-2021 tillsynsbegäran.docx", "A 64510-2021")</f>
        <v/>
      </c>
      <c r="Y18">
        <f>HYPERLINK("https://klasma.github.io/Logging_2026/tillsynsmail/A 64510-2021 tillsynsbegäran mail.docx", "A 64510-2021")</f>
        <v/>
      </c>
    </row>
    <row r="19" ht="15" customHeight="1">
      <c r="A19" t="inlineStr">
        <is>
          <t>A 43914-2024</t>
        </is>
      </c>
      <c r="B19" s="1" t="n">
        <v>45572</v>
      </c>
      <c r="C19" s="1" t="n">
        <v>46035</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43914-2024 artfynd.xlsx", "A 43914-2024")</f>
        <v/>
      </c>
      <c r="T19">
        <f>HYPERLINK("https://klasma.github.io/Logging_2026/kartor/A 43914-2024 karta.png", "A 43914-2024")</f>
        <v/>
      </c>
      <c r="U19">
        <f>HYPERLINK("https://klasma.github.io/Logging_2026/knärot/A 43914-2024 karta knärot.png", "A 43914-2024")</f>
        <v/>
      </c>
      <c r="V19">
        <f>HYPERLINK("https://klasma.github.io/Logging_2026/klagomål/A 43914-2024 FSC-klagomål.docx", "A 43914-2024")</f>
        <v/>
      </c>
      <c r="W19">
        <f>HYPERLINK("https://klasma.github.io/Logging_2026/klagomålsmail/A 43914-2024 FSC-klagomål mail.docx", "A 43914-2024")</f>
        <v/>
      </c>
      <c r="X19">
        <f>HYPERLINK("https://klasma.github.io/Logging_2026/tillsyn/A 43914-2024 tillsynsbegäran.docx", "A 43914-2024")</f>
        <v/>
      </c>
      <c r="Y19">
        <f>HYPERLINK("https://klasma.github.io/Logging_2026/tillsynsmail/A 43914-2024 tillsynsbegäran mail.docx", "A 43914-2024")</f>
        <v/>
      </c>
    </row>
    <row r="20" ht="15" customHeight="1">
      <c r="A20" t="inlineStr">
        <is>
          <t>A 61787-2024</t>
        </is>
      </c>
      <c r="B20" s="1" t="n">
        <v>45649.48122685185</v>
      </c>
      <c r="C20" s="1" t="n">
        <v>46035</v>
      </c>
      <c r="D20" t="inlineStr">
        <is>
          <t>DALARNAS LÄN</t>
        </is>
      </c>
      <c r="E20" t="inlineStr">
        <is>
          <t>GAGNEF</t>
        </is>
      </c>
      <c r="G20" t="n">
        <v>1.6</v>
      </c>
      <c r="H20" t="n">
        <v>0</v>
      </c>
      <c r="I20" t="n">
        <v>0</v>
      </c>
      <c r="J20" t="n">
        <v>1</v>
      </c>
      <c r="K20" t="n">
        <v>0</v>
      </c>
      <c r="L20" t="n">
        <v>0</v>
      </c>
      <c r="M20" t="n">
        <v>0</v>
      </c>
      <c r="N20" t="n">
        <v>0</v>
      </c>
      <c r="O20" t="n">
        <v>1</v>
      </c>
      <c r="P20" t="n">
        <v>0</v>
      </c>
      <c r="Q20" t="n">
        <v>1</v>
      </c>
      <c r="R20" s="2" t="inlineStr">
        <is>
          <t>Tallticka</t>
        </is>
      </c>
      <c r="S20">
        <f>HYPERLINK("https://klasma.github.io/Logging_2026/artfynd/A 61787-2024 artfynd.xlsx", "A 61787-2024")</f>
        <v/>
      </c>
      <c r="T20">
        <f>HYPERLINK("https://klasma.github.io/Logging_2026/kartor/A 61787-2024 karta.png", "A 61787-2024")</f>
        <v/>
      </c>
      <c r="V20">
        <f>HYPERLINK("https://klasma.github.io/Logging_2026/klagomål/A 61787-2024 FSC-klagomål.docx", "A 61787-2024")</f>
        <v/>
      </c>
      <c r="W20">
        <f>HYPERLINK("https://klasma.github.io/Logging_2026/klagomålsmail/A 61787-2024 FSC-klagomål mail.docx", "A 61787-2024")</f>
        <v/>
      </c>
      <c r="X20">
        <f>HYPERLINK("https://klasma.github.io/Logging_2026/tillsyn/A 61787-2024 tillsynsbegäran.docx", "A 61787-2024")</f>
        <v/>
      </c>
      <c r="Y20">
        <f>HYPERLINK("https://klasma.github.io/Logging_2026/tillsynsmail/A 61787-2024 tillsynsbegäran mail.docx", "A 61787-2024")</f>
        <v/>
      </c>
    </row>
    <row r="21" ht="15" customHeight="1">
      <c r="A21" t="inlineStr">
        <is>
          <t>A 61316-2025</t>
        </is>
      </c>
      <c r="B21" s="1" t="n">
        <v>46000.93822916667</v>
      </c>
      <c r="C21" s="1" t="n">
        <v>46035</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42709-2024</t>
        </is>
      </c>
      <c r="B22" s="1" t="n">
        <v>45566</v>
      </c>
      <c r="C22" s="1" t="n">
        <v>46035</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676-2026</t>
        </is>
      </c>
      <c r="B23" s="1" t="n">
        <v>46029.59697916666</v>
      </c>
      <c r="C23" s="1" t="n">
        <v>46035</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11995-2021</t>
        </is>
      </c>
      <c r="B24" s="1" t="n">
        <v>44266</v>
      </c>
      <c r="C24" s="1" t="n">
        <v>46035</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46035</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46035</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46035</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46035</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46035</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46035</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46035</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46035</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46035</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46035</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46035</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46035</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46035</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46035</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46035</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46035</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46035</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46035</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46035</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46035</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46035</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46035</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46035</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46035</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46035</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46035</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46035</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46035</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46035</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46035</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46035</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46035</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46035</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46035</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26622-2023</t>
        </is>
      </c>
      <c r="B60" s="1" t="n">
        <v>45092.70679398148</v>
      </c>
      <c r="C60" s="1" t="n">
        <v>46035</v>
      </c>
      <c r="D60" t="inlineStr">
        <is>
          <t>DALARNAS LÄN</t>
        </is>
      </c>
      <c r="E60" t="inlineStr">
        <is>
          <t>GAGNEF</t>
        </is>
      </c>
      <c r="F60" t="inlineStr">
        <is>
          <t>Bergvik skog väst AB</t>
        </is>
      </c>
      <c r="G60" t="n">
        <v>10.5</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46035</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47685-2025</t>
        </is>
      </c>
      <c r="B62" s="1" t="n">
        <v>45931.58986111111</v>
      </c>
      <c r="C62" s="1" t="n">
        <v>46035</v>
      </c>
      <c r="D62" t="inlineStr">
        <is>
          <t>DALARNAS LÄN</t>
        </is>
      </c>
      <c r="E62" t="inlineStr">
        <is>
          <t>GAGNEF</t>
        </is>
      </c>
      <c r="G62" t="n">
        <v>0.7</v>
      </c>
      <c r="H62" t="n">
        <v>0</v>
      </c>
      <c r="I62" t="n">
        <v>0</v>
      </c>
      <c r="J62" t="n">
        <v>0</v>
      </c>
      <c r="K62" t="n">
        <v>0</v>
      </c>
      <c r="L62" t="n">
        <v>0</v>
      </c>
      <c r="M62" t="n">
        <v>0</v>
      </c>
      <c r="N62" t="n">
        <v>0</v>
      </c>
      <c r="O62" t="n">
        <v>0</v>
      </c>
      <c r="P62" t="n">
        <v>0</v>
      </c>
      <c r="Q62" t="n">
        <v>0</v>
      </c>
      <c r="R62" s="2" t="inlineStr"/>
    </row>
    <row r="63" ht="15" customHeight="1">
      <c r="A63" t="inlineStr">
        <is>
          <t>A 47669-2025</t>
        </is>
      </c>
      <c r="B63" s="1" t="n">
        <v>45931.57208333333</v>
      </c>
      <c r="C63" s="1" t="n">
        <v>46035</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43916-2024</t>
        </is>
      </c>
      <c r="B64" s="1" t="n">
        <v>45572.43674768518</v>
      </c>
      <c r="C64" s="1" t="n">
        <v>46035</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2017-2025</t>
        </is>
      </c>
      <c r="B65" s="1" t="n">
        <v>45672</v>
      </c>
      <c r="C65" s="1" t="n">
        <v>46035</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46035</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47560-2025</t>
        </is>
      </c>
      <c r="B67" s="1" t="n">
        <v>45931.38627314815</v>
      </c>
      <c r="C67" s="1" t="n">
        <v>46035</v>
      </c>
      <c r="D67" t="inlineStr">
        <is>
          <t>DALARNAS LÄN</t>
        </is>
      </c>
      <c r="E67" t="inlineStr">
        <is>
          <t>GAGNEF</t>
        </is>
      </c>
      <c r="G67" t="n">
        <v>0.5</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46035</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491-2025</t>
        </is>
      </c>
      <c r="B69" s="1" t="n">
        <v>45664.46144675926</v>
      </c>
      <c r="C69" s="1" t="n">
        <v>46035</v>
      </c>
      <c r="D69" t="inlineStr">
        <is>
          <t>DALARNAS LÄN</t>
        </is>
      </c>
      <c r="E69" t="inlineStr">
        <is>
          <t>GAGNEF</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46035</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47554-2025</t>
        </is>
      </c>
      <c r="B71" s="1" t="n">
        <v>45931.37412037037</v>
      </c>
      <c r="C71" s="1" t="n">
        <v>46035</v>
      </c>
      <c r="D71" t="inlineStr">
        <is>
          <t>DALARNAS LÄN</t>
        </is>
      </c>
      <c r="E71" t="inlineStr">
        <is>
          <t>GAGNEF</t>
        </is>
      </c>
      <c r="G71" t="n">
        <v>1.5</v>
      </c>
      <c r="H71" t="n">
        <v>0</v>
      </c>
      <c r="I71" t="n">
        <v>0</v>
      </c>
      <c r="J71" t="n">
        <v>0</v>
      </c>
      <c r="K71" t="n">
        <v>0</v>
      </c>
      <c r="L71" t="n">
        <v>0</v>
      </c>
      <c r="M71" t="n">
        <v>0</v>
      </c>
      <c r="N71" t="n">
        <v>0</v>
      </c>
      <c r="O71" t="n">
        <v>0</v>
      </c>
      <c r="P71" t="n">
        <v>0</v>
      </c>
      <c r="Q71" t="n">
        <v>0</v>
      </c>
      <c r="R71" s="2" t="inlineStr"/>
    </row>
    <row r="72" ht="15" customHeight="1">
      <c r="A72" t="inlineStr">
        <is>
          <t>A 17854-2024</t>
        </is>
      </c>
      <c r="B72" s="1" t="n">
        <v>45419.41003472222</v>
      </c>
      <c r="C72" s="1" t="n">
        <v>46035</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20771-2025</t>
        </is>
      </c>
      <c r="B73" s="1" t="n">
        <v>45776.58692129629</v>
      </c>
      <c r="C73" s="1" t="n">
        <v>46035</v>
      </c>
      <c r="D73" t="inlineStr">
        <is>
          <t>DALARNAS LÄN</t>
        </is>
      </c>
      <c r="E73" t="inlineStr">
        <is>
          <t>GAGNEF</t>
        </is>
      </c>
      <c r="G73" t="n">
        <v>10.5</v>
      </c>
      <c r="H73" t="n">
        <v>0</v>
      </c>
      <c r="I73" t="n">
        <v>0</v>
      </c>
      <c r="J73" t="n">
        <v>0</v>
      </c>
      <c r="K73" t="n">
        <v>0</v>
      </c>
      <c r="L73" t="n">
        <v>0</v>
      </c>
      <c r="M73" t="n">
        <v>0</v>
      </c>
      <c r="N73" t="n">
        <v>0</v>
      </c>
      <c r="O73" t="n">
        <v>0</v>
      </c>
      <c r="P73" t="n">
        <v>0</v>
      </c>
      <c r="Q73" t="n">
        <v>0</v>
      </c>
      <c r="R73" s="2" t="inlineStr"/>
    </row>
    <row r="74" ht="15" customHeight="1">
      <c r="A74" t="inlineStr">
        <is>
          <t>A 45110-2025</t>
        </is>
      </c>
      <c r="B74" s="1" t="n">
        <v>45919</v>
      </c>
      <c r="C74" s="1" t="n">
        <v>46035</v>
      </c>
      <c r="D74" t="inlineStr">
        <is>
          <t>DALARNAS LÄN</t>
        </is>
      </c>
      <c r="E74" t="inlineStr">
        <is>
          <t>GAGNEF</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15285-2025</t>
        </is>
      </c>
      <c r="B75" s="1" t="n">
        <v>45744.9047337963</v>
      </c>
      <c r="C75" s="1" t="n">
        <v>46035</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46035</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24862-2024</t>
        </is>
      </c>
      <c r="B77" s="1" t="n">
        <v>45461.48384259259</v>
      </c>
      <c r="C77" s="1" t="n">
        <v>46035</v>
      </c>
      <c r="D77" t="inlineStr">
        <is>
          <t>DALARNAS LÄN</t>
        </is>
      </c>
      <c r="E77" t="inlineStr">
        <is>
          <t>GAGNEF</t>
        </is>
      </c>
      <c r="G77" t="n">
        <v>2.3</v>
      </c>
      <c r="H77" t="n">
        <v>0</v>
      </c>
      <c r="I77" t="n">
        <v>0</v>
      </c>
      <c r="J77" t="n">
        <v>0</v>
      </c>
      <c r="K77" t="n">
        <v>0</v>
      </c>
      <c r="L77" t="n">
        <v>0</v>
      </c>
      <c r="M77" t="n">
        <v>0</v>
      </c>
      <c r="N77" t="n">
        <v>0</v>
      </c>
      <c r="O77" t="n">
        <v>0</v>
      </c>
      <c r="P77" t="n">
        <v>0</v>
      </c>
      <c r="Q77" t="n">
        <v>0</v>
      </c>
      <c r="R77" s="2" t="inlineStr"/>
    </row>
    <row r="78" ht="15" customHeight="1">
      <c r="A78" t="inlineStr">
        <is>
          <t>A 36127-2024</t>
        </is>
      </c>
      <c r="B78" s="1" t="n">
        <v>45534.3334375</v>
      </c>
      <c r="C78" s="1" t="n">
        <v>46035</v>
      </c>
      <c r="D78" t="inlineStr">
        <is>
          <t>DALARNAS LÄN</t>
        </is>
      </c>
      <c r="E78" t="inlineStr">
        <is>
          <t>GAGNEF</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36132-2024</t>
        </is>
      </c>
      <c r="B79" s="1" t="n">
        <v>45534.34255787037</v>
      </c>
      <c r="C79" s="1" t="n">
        <v>46035</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8491-2025</t>
        </is>
      </c>
      <c r="B80" s="1" t="n">
        <v>45709.50834490741</v>
      </c>
      <c r="C80" s="1" t="n">
        <v>46035</v>
      </c>
      <c r="D80" t="inlineStr">
        <is>
          <t>DALARNAS LÄN</t>
        </is>
      </c>
      <c r="E80" t="inlineStr">
        <is>
          <t>GAGNEF</t>
        </is>
      </c>
      <c r="G80" t="n">
        <v>3.2</v>
      </c>
      <c r="H80" t="n">
        <v>0</v>
      </c>
      <c r="I80" t="n">
        <v>0</v>
      </c>
      <c r="J80" t="n">
        <v>0</v>
      </c>
      <c r="K80" t="n">
        <v>0</v>
      </c>
      <c r="L80" t="n">
        <v>0</v>
      </c>
      <c r="M80" t="n">
        <v>0</v>
      </c>
      <c r="N80" t="n">
        <v>0</v>
      </c>
      <c r="O80" t="n">
        <v>0</v>
      </c>
      <c r="P80" t="n">
        <v>0</v>
      </c>
      <c r="Q80" t="n">
        <v>0</v>
      </c>
      <c r="R80" s="2" t="inlineStr"/>
    </row>
    <row r="81" ht="15" customHeight="1">
      <c r="A81" t="inlineStr">
        <is>
          <t>A 30672-2024</t>
        </is>
      </c>
      <c r="B81" s="1" t="n">
        <v>45495.81412037037</v>
      </c>
      <c r="C81" s="1" t="n">
        <v>46035</v>
      </c>
      <c r="D81" t="inlineStr">
        <is>
          <t>DALARNAS LÄN</t>
        </is>
      </c>
      <c r="E81" t="inlineStr">
        <is>
          <t>GAGNEF</t>
        </is>
      </c>
      <c r="G81" t="n">
        <v>4.3</v>
      </c>
      <c r="H81" t="n">
        <v>0</v>
      </c>
      <c r="I81" t="n">
        <v>0</v>
      </c>
      <c r="J81" t="n">
        <v>0</v>
      </c>
      <c r="K81" t="n">
        <v>0</v>
      </c>
      <c r="L81" t="n">
        <v>0</v>
      </c>
      <c r="M81" t="n">
        <v>0</v>
      </c>
      <c r="N81" t="n">
        <v>0</v>
      </c>
      <c r="O81" t="n">
        <v>0</v>
      </c>
      <c r="P81" t="n">
        <v>0</v>
      </c>
      <c r="Q81" t="n">
        <v>0</v>
      </c>
      <c r="R81" s="2" t="inlineStr"/>
    </row>
    <row r="82" ht="15" customHeight="1">
      <c r="A82" t="inlineStr">
        <is>
          <t>A 27814-2024</t>
        </is>
      </c>
      <c r="B82" s="1" t="n">
        <v>45475.5928587963</v>
      </c>
      <c r="C82" s="1" t="n">
        <v>46035</v>
      </c>
      <c r="D82" t="inlineStr">
        <is>
          <t>DALARNAS LÄN</t>
        </is>
      </c>
      <c r="E82" t="inlineStr">
        <is>
          <t>GAGNEF</t>
        </is>
      </c>
      <c r="G82" t="n">
        <v>3.8</v>
      </c>
      <c r="H82" t="n">
        <v>0</v>
      </c>
      <c r="I82" t="n">
        <v>0</v>
      </c>
      <c r="J82" t="n">
        <v>0</v>
      </c>
      <c r="K82" t="n">
        <v>0</v>
      </c>
      <c r="L82" t="n">
        <v>0</v>
      </c>
      <c r="M82" t="n">
        <v>0</v>
      </c>
      <c r="N82" t="n">
        <v>0</v>
      </c>
      <c r="O82" t="n">
        <v>0</v>
      </c>
      <c r="P82" t="n">
        <v>0</v>
      </c>
      <c r="Q82" t="n">
        <v>0</v>
      </c>
      <c r="R82" s="2" t="inlineStr"/>
    </row>
    <row r="83" ht="15" customHeight="1">
      <c r="A83" t="inlineStr">
        <is>
          <t>A 42607-2024</t>
        </is>
      </c>
      <c r="B83" s="1" t="n">
        <v>45565.76509259259</v>
      </c>
      <c r="C83" s="1" t="n">
        <v>46035</v>
      </c>
      <c r="D83" t="inlineStr">
        <is>
          <t>DALARNAS LÄN</t>
        </is>
      </c>
      <c r="E83" t="inlineStr">
        <is>
          <t>GAGNEF</t>
        </is>
      </c>
      <c r="G83" t="n">
        <v>2.6</v>
      </c>
      <c r="H83" t="n">
        <v>0</v>
      </c>
      <c r="I83" t="n">
        <v>0</v>
      </c>
      <c r="J83" t="n">
        <v>0</v>
      </c>
      <c r="K83" t="n">
        <v>0</v>
      </c>
      <c r="L83" t="n">
        <v>0</v>
      </c>
      <c r="M83" t="n">
        <v>0</v>
      </c>
      <c r="N83" t="n">
        <v>0</v>
      </c>
      <c r="O83" t="n">
        <v>0</v>
      </c>
      <c r="P83" t="n">
        <v>0</v>
      </c>
      <c r="Q83" t="n">
        <v>0</v>
      </c>
      <c r="R83" s="2" t="inlineStr"/>
    </row>
    <row r="84" ht="15" customHeight="1">
      <c r="A84" t="inlineStr">
        <is>
          <t>A 30635-2024</t>
        </is>
      </c>
      <c r="B84" s="1" t="n">
        <v>45495.54474537037</v>
      </c>
      <c r="C84" s="1" t="n">
        <v>46035</v>
      </c>
      <c r="D84" t="inlineStr">
        <is>
          <t>DALARNAS LÄN</t>
        </is>
      </c>
      <c r="E84" t="inlineStr">
        <is>
          <t>GAGNEF</t>
        </is>
      </c>
      <c r="G84" t="n">
        <v>1.9</v>
      </c>
      <c r="H84" t="n">
        <v>0</v>
      </c>
      <c r="I84" t="n">
        <v>0</v>
      </c>
      <c r="J84" t="n">
        <v>0</v>
      </c>
      <c r="K84" t="n">
        <v>0</v>
      </c>
      <c r="L84" t="n">
        <v>0</v>
      </c>
      <c r="M84" t="n">
        <v>0</v>
      </c>
      <c r="N84" t="n">
        <v>0</v>
      </c>
      <c r="O84" t="n">
        <v>0</v>
      </c>
      <c r="P84" t="n">
        <v>0</v>
      </c>
      <c r="Q84" t="n">
        <v>0</v>
      </c>
      <c r="R84" s="2" t="inlineStr"/>
    </row>
    <row r="85" ht="15" customHeight="1">
      <c r="A85" t="inlineStr">
        <is>
          <t>A 38422-2024</t>
        </is>
      </c>
      <c r="B85" s="1" t="n">
        <v>45546.36997685185</v>
      </c>
      <c r="C85" s="1" t="n">
        <v>46035</v>
      </c>
      <c r="D85" t="inlineStr">
        <is>
          <t>DALARNAS LÄN</t>
        </is>
      </c>
      <c r="E85" t="inlineStr">
        <is>
          <t>GAGNEF</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11349-2023</t>
        </is>
      </c>
      <c r="B86" s="1" t="n">
        <v>44993</v>
      </c>
      <c r="C86" s="1" t="n">
        <v>46035</v>
      </c>
      <c r="D86" t="inlineStr">
        <is>
          <t>DALARNAS LÄN</t>
        </is>
      </c>
      <c r="E86" t="inlineStr">
        <is>
          <t>GAGNEF</t>
        </is>
      </c>
      <c r="G86" t="n">
        <v>5.8</v>
      </c>
      <c r="H86" t="n">
        <v>0</v>
      </c>
      <c r="I86" t="n">
        <v>0</v>
      </c>
      <c r="J86" t="n">
        <v>0</v>
      </c>
      <c r="K86" t="n">
        <v>0</v>
      </c>
      <c r="L86" t="n">
        <v>0</v>
      </c>
      <c r="M86" t="n">
        <v>0</v>
      </c>
      <c r="N86" t="n">
        <v>0</v>
      </c>
      <c r="O86" t="n">
        <v>0</v>
      </c>
      <c r="P86" t="n">
        <v>0</v>
      </c>
      <c r="Q86" t="n">
        <v>0</v>
      </c>
      <c r="R86" s="2" t="inlineStr"/>
    </row>
    <row r="87" ht="15" customHeight="1">
      <c r="A87" t="inlineStr">
        <is>
          <t>A 27668-2023</t>
        </is>
      </c>
      <c r="B87" s="1" t="n">
        <v>45097</v>
      </c>
      <c r="C87" s="1" t="n">
        <v>46035</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35814-2024</t>
        </is>
      </c>
      <c r="B88" s="1" t="n">
        <v>45532.65449074074</v>
      </c>
      <c r="C88" s="1" t="n">
        <v>46035</v>
      </c>
      <c r="D88" t="inlineStr">
        <is>
          <t>DALARNAS LÄN</t>
        </is>
      </c>
      <c r="E88" t="inlineStr">
        <is>
          <t>GAGNEF</t>
        </is>
      </c>
      <c r="F88" t="inlineStr">
        <is>
          <t>Bergvik skog väst AB</t>
        </is>
      </c>
      <c r="G88" t="n">
        <v>3.5</v>
      </c>
      <c r="H88" t="n">
        <v>0</v>
      </c>
      <c r="I88" t="n">
        <v>0</v>
      </c>
      <c r="J88" t="n">
        <v>0</v>
      </c>
      <c r="K88" t="n">
        <v>0</v>
      </c>
      <c r="L88" t="n">
        <v>0</v>
      </c>
      <c r="M88" t="n">
        <v>0</v>
      </c>
      <c r="N88" t="n">
        <v>0</v>
      </c>
      <c r="O88" t="n">
        <v>0</v>
      </c>
      <c r="P88" t="n">
        <v>0</v>
      </c>
      <c r="Q88" t="n">
        <v>0</v>
      </c>
      <c r="R88" s="2" t="inlineStr"/>
    </row>
    <row r="89" ht="15" customHeight="1">
      <c r="A89" t="inlineStr">
        <is>
          <t>A 33034-2021</t>
        </is>
      </c>
      <c r="B89" s="1" t="n">
        <v>44376</v>
      </c>
      <c r="C89" s="1" t="n">
        <v>46035</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23488-2024</t>
        </is>
      </c>
      <c r="B90" s="1" t="n">
        <v>45453.67690972222</v>
      </c>
      <c r="C90" s="1" t="n">
        <v>46035</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32848-2024</t>
        </is>
      </c>
      <c r="B91" s="1" t="n">
        <v>45516.63170138889</v>
      </c>
      <c r="C91" s="1" t="n">
        <v>46035</v>
      </c>
      <c r="D91" t="inlineStr">
        <is>
          <t>DALARNAS LÄN</t>
        </is>
      </c>
      <c r="E91" t="inlineStr">
        <is>
          <t>GAGNEF</t>
        </is>
      </c>
      <c r="F91" t="inlineStr">
        <is>
          <t>Bergvik skog väst AB</t>
        </is>
      </c>
      <c r="G91" t="n">
        <v>4.3</v>
      </c>
      <c r="H91" t="n">
        <v>0</v>
      </c>
      <c r="I91" t="n">
        <v>0</v>
      </c>
      <c r="J91" t="n">
        <v>0</v>
      </c>
      <c r="K91" t="n">
        <v>0</v>
      </c>
      <c r="L91" t="n">
        <v>0</v>
      </c>
      <c r="M91" t="n">
        <v>0</v>
      </c>
      <c r="N91" t="n">
        <v>0</v>
      </c>
      <c r="O91" t="n">
        <v>0</v>
      </c>
      <c r="P91" t="n">
        <v>0</v>
      </c>
      <c r="Q91" t="n">
        <v>0</v>
      </c>
      <c r="R91" s="2" t="inlineStr"/>
    </row>
    <row r="92" ht="15" customHeight="1">
      <c r="A92" t="inlineStr">
        <is>
          <t>A 40409-2022</t>
        </is>
      </c>
      <c r="B92" s="1" t="n">
        <v>44823.45168981481</v>
      </c>
      <c r="C92" s="1" t="n">
        <v>46035</v>
      </c>
      <c r="D92" t="inlineStr">
        <is>
          <t>DALARNAS LÄN</t>
        </is>
      </c>
      <c r="E92" t="inlineStr">
        <is>
          <t>GAGNEF</t>
        </is>
      </c>
      <c r="G92" t="n">
        <v>3</v>
      </c>
      <c r="H92" t="n">
        <v>0</v>
      </c>
      <c r="I92" t="n">
        <v>0</v>
      </c>
      <c r="J92" t="n">
        <v>0</v>
      </c>
      <c r="K92" t="n">
        <v>0</v>
      </c>
      <c r="L92" t="n">
        <v>0</v>
      </c>
      <c r="M92" t="n">
        <v>0</v>
      </c>
      <c r="N92" t="n">
        <v>0</v>
      </c>
      <c r="O92" t="n">
        <v>0</v>
      </c>
      <c r="P92" t="n">
        <v>0</v>
      </c>
      <c r="Q92" t="n">
        <v>0</v>
      </c>
      <c r="R92" s="2" t="inlineStr"/>
    </row>
    <row r="93" ht="15" customHeight="1">
      <c r="A93" t="inlineStr">
        <is>
          <t>A 40738-2025</t>
        </is>
      </c>
      <c r="B93" s="1" t="n">
        <v>45897.36666666667</v>
      </c>
      <c r="C93" s="1" t="n">
        <v>46035</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22273-2025</t>
        </is>
      </c>
      <c r="B94" s="1" t="n">
        <v>45785.94997685185</v>
      </c>
      <c r="C94" s="1" t="n">
        <v>46035</v>
      </c>
      <c r="D94" t="inlineStr">
        <is>
          <t>DALARNAS LÄN</t>
        </is>
      </c>
      <c r="E94" t="inlineStr">
        <is>
          <t>GAGNEF</t>
        </is>
      </c>
      <c r="G94" t="n">
        <v>2.4</v>
      </c>
      <c r="H94" t="n">
        <v>0</v>
      </c>
      <c r="I94" t="n">
        <v>0</v>
      </c>
      <c r="J94" t="n">
        <v>0</v>
      </c>
      <c r="K94" t="n">
        <v>0</v>
      </c>
      <c r="L94" t="n">
        <v>0</v>
      </c>
      <c r="M94" t="n">
        <v>0</v>
      </c>
      <c r="N94" t="n">
        <v>0</v>
      </c>
      <c r="O94" t="n">
        <v>0</v>
      </c>
      <c r="P94" t="n">
        <v>0</v>
      </c>
      <c r="Q94" t="n">
        <v>0</v>
      </c>
      <c r="R94" s="2" t="inlineStr"/>
    </row>
    <row r="95" ht="15" customHeight="1">
      <c r="A95" t="inlineStr">
        <is>
          <t>A 22856-2025</t>
        </is>
      </c>
      <c r="B95" s="1" t="n">
        <v>45789</v>
      </c>
      <c r="C95" s="1" t="n">
        <v>46035</v>
      </c>
      <c r="D95" t="inlineStr">
        <is>
          <t>DALARNAS LÄN</t>
        </is>
      </c>
      <c r="E95" t="inlineStr">
        <is>
          <t>GAGNEF</t>
        </is>
      </c>
      <c r="G95" t="n">
        <v>2.9</v>
      </c>
      <c r="H95" t="n">
        <v>0</v>
      </c>
      <c r="I95" t="n">
        <v>0</v>
      </c>
      <c r="J95" t="n">
        <v>0</v>
      </c>
      <c r="K95" t="n">
        <v>0</v>
      </c>
      <c r="L95" t="n">
        <v>0</v>
      </c>
      <c r="M95" t="n">
        <v>0</v>
      </c>
      <c r="N95" t="n">
        <v>0</v>
      </c>
      <c r="O95" t="n">
        <v>0</v>
      </c>
      <c r="P95" t="n">
        <v>0</v>
      </c>
      <c r="Q95" t="n">
        <v>0</v>
      </c>
      <c r="R95" s="2" t="inlineStr"/>
    </row>
    <row r="96" ht="15" customHeight="1">
      <c r="A96" t="inlineStr">
        <is>
          <t>A 41068-2025</t>
        </is>
      </c>
      <c r="B96" s="1" t="n">
        <v>45898.4143287037</v>
      </c>
      <c r="C96" s="1" t="n">
        <v>46035</v>
      </c>
      <c r="D96" t="inlineStr">
        <is>
          <t>DALARNAS LÄN</t>
        </is>
      </c>
      <c r="E96" t="inlineStr">
        <is>
          <t>GAGNEF</t>
        </is>
      </c>
      <c r="G96" t="n">
        <v>0.9</v>
      </c>
      <c r="H96" t="n">
        <v>0</v>
      </c>
      <c r="I96" t="n">
        <v>0</v>
      </c>
      <c r="J96" t="n">
        <v>0</v>
      </c>
      <c r="K96" t="n">
        <v>0</v>
      </c>
      <c r="L96" t="n">
        <v>0</v>
      </c>
      <c r="M96" t="n">
        <v>0</v>
      </c>
      <c r="N96" t="n">
        <v>0</v>
      </c>
      <c r="O96" t="n">
        <v>0</v>
      </c>
      <c r="P96" t="n">
        <v>0</v>
      </c>
      <c r="Q96" t="n">
        <v>0</v>
      </c>
      <c r="R96" s="2" t="inlineStr"/>
    </row>
    <row r="97" ht="15" customHeight="1">
      <c r="A97" t="inlineStr">
        <is>
          <t>A 41073-2025</t>
        </is>
      </c>
      <c r="B97" s="1" t="n">
        <v>45898.42114583333</v>
      </c>
      <c r="C97" s="1" t="n">
        <v>46035</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31804-2024</t>
        </is>
      </c>
      <c r="B98" s="1" t="n">
        <v>45509.57237268519</v>
      </c>
      <c r="C98" s="1" t="n">
        <v>46035</v>
      </c>
      <c r="D98" t="inlineStr">
        <is>
          <t>DALARNAS LÄN</t>
        </is>
      </c>
      <c r="E98" t="inlineStr">
        <is>
          <t>GAGNEF</t>
        </is>
      </c>
      <c r="G98" t="n">
        <v>0.5</v>
      </c>
      <c r="H98" t="n">
        <v>0</v>
      </c>
      <c r="I98" t="n">
        <v>0</v>
      </c>
      <c r="J98" t="n">
        <v>0</v>
      </c>
      <c r="K98" t="n">
        <v>0</v>
      </c>
      <c r="L98" t="n">
        <v>0</v>
      </c>
      <c r="M98" t="n">
        <v>0</v>
      </c>
      <c r="N98" t="n">
        <v>0</v>
      </c>
      <c r="O98" t="n">
        <v>0</v>
      </c>
      <c r="P98" t="n">
        <v>0</v>
      </c>
      <c r="Q98" t="n">
        <v>0</v>
      </c>
      <c r="R98" s="2" t="inlineStr"/>
    </row>
    <row r="99" ht="15" customHeight="1">
      <c r="A99" t="inlineStr">
        <is>
          <t>A 41065-2025</t>
        </is>
      </c>
      <c r="B99" s="1" t="n">
        <v>45898.41145833334</v>
      </c>
      <c r="C99" s="1" t="n">
        <v>46035</v>
      </c>
      <c r="D99" t="inlineStr">
        <is>
          <t>DALARNAS LÄN</t>
        </is>
      </c>
      <c r="E99" t="inlineStr">
        <is>
          <t>GAGNEF</t>
        </is>
      </c>
      <c r="G99" t="n">
        <v>7.1</v>
      </c>
      <c r="H99" t="n">
        <v>0</v>
      </c>
      <c r="I99" t="n">
        <v>0</v>
      </c>
      <c r="J99" t="n">
        <v>0</v>
      </c>
      <c r="K99" t="n">
        <v>0</v>
      </c>
      <c r="L99" t="n">
        <v>0</v>
      </c>
      <c r="M99" t="n">
        <v>0</v>
      </c>
      <c r="N99" t="n">
        <v>0</v>
      </c>
      <c r="O99" t="n">
        <v>0</v>
      </c>
      <c r="P99" t="n">
        <v>0</v>
      </c>
      <c r="Q99" t="n">
        <v>0</v>
      </c>
      <c r="R99" s="2" t="inlineStr"/>
    </row>
    <row r="100" ht="15" customHeight="1">
      <c r="A100" t="inlineStr">
        <is>
          <t>A 5835-2025</t>
        </is>
      </c>
      <c r="B100" s="1" t="n">
        <v>45694.86667824074</v>
      </c>
      <c r="C100" s="1" t="n">
        <v>46035</v>
      </c>
      <c r="D100" t="inlineStr">
        <is>
          <t>DALARNAS LÄN</t>
        </is>
      </c>
      <c r="E100" t="inlineStr">
        <is>
          <t>GAGNEF</t>
        </is>
      </c>
      <c r="G100" t="n">
        <v>3.4</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45022.65944444444</v>
      </c>
      <c r="C101" s="1" t="n">
        <v>46035</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23227-2025</t>
        </is>
      </c>
      <c r="B102" s="1" t="n">
        <v>45791.48747685185</v>
      </c>
      <c r="C102" s="1" t="n">
        <v>46035</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49226-2025</t>
        </is>
      </c>
      <c r="B103" s="1" t="n">
        <v>45938.46777777778</v>
      </c>
      <c r="C103" s="1" t="n">
        <v>46035</v>
      </c>
      <c r="D103" t="inlineStr">
        <is>
          <t>DALARNAS LÄN</t>
        </is>
      </c>
      <c r="E103" t="inlineStr">
        <is>
          <t>GAGNEF</t>
        </is>
      </c>
      <c r="G103" t="n">
        <v>1.4</v>
      </c>
      <c r="H103" t="n">
        <v>0</v>
      </c>
      <c r="I103" t="n">
        <v>0</v>
      </c>
      <c r="J103" t="n">
        <v>0</v>
      </c>
      <c r="K103" t="n">
        <v>0</v>
      </c>
      <c r="L103" t="n">
        <v>0</v>
      </c>
      <c r="M103" t="n">
        <v>0</v>
      </c>
      <c r="N103" t="n">
        <v>0</v>
      </c>
      <c r="O103" t="n">
        <v>0</v>
      </c>
      <c r="P103" t="n">
        <v>0</v>
      </c>
      <c r="Q103" t="n">
        <v>0</v>
      </c>
      <c r="R103" s="2" t="inlineStr"/>
    </row>
    <row r="104" ht="15" customHeight="1">
      <c r="A104" t="inlineStr">
        <is>
          <t>A 48957-2025</t>
        </is>
      </c>
      <c r="B104" s="1" t="n">
        <v>45937.55002314815</v>
      </c>
      <c r="C104" s="1" t="n">
        <v>46035</v>
      </c>
      <c r="D104" t="inlineStr">
        <is>
          <t>DALARNAS LÄN</t>
        </is>
      </c>
      <c r="E104" t="inlineStr">
        <is>
          <t>GAGNEF</t>
        </is>
      </c>
      <c r="G104" t="n">
        <v>18</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46035</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23797-2025</t>
        </is>
      </c>
      <c r="B106" s="1" t="n">
        <v>45793.55232638889</v>
      </c>
      <c r="C106" s="1" t="n">
        <v>46035</v>
      </c>
      <c r="D106" t="inlineStr">
        <is>
          <t>DALARNAS LÄN</t>
        </is>
      </c>
      <c r="E106" t="inlineStr">
        <is>
          <t>GAGNEF</t>
        </is>
      </c>
      <c r="F106" t="inlineStr">
        <is>
          <t>Övriga statliga verk och myndigheter</t>
        </is>
      </c>
      <c r="G106" t="n">
        <v>2.8</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46035</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42166-2025</t>
        </is>
      </c>
      <c r="B108" s="1" t="n">
        <v>45904.42144675926</v>
      </c>
      <c r="C108" s="1" t="n">
        <v>46035</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7598-2024</t>
        </is>
      </c>
      <c r="B109" s="1" t="n">
        <v>45348.55574074074</v>
      </c>
      <c r="C109" s="1" t="n">
        <v>46035</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46035</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47956-2024</t>
        </is>
      </c>
      <c r="B111" s="1" t="n">
        <v>45589.37105324074</v>
      </c>
      <c r="C111" s="1" t="n">
        <v>46035</v>
      </c>
      <c r="D111" t="inlineStr">
        <is>
          <t>DALARNAS LÄN</t>
        </is>
      </c>
      <c r="E111" t="inlineStr">
        <is>
          <t>GAGNEF</t>
        </is>
      </c>
      <c r="G111" t="n">
        <v>2.5</v>
      </c>
      <c r="H111" t="n">
        <v>0</v>
      </c>
      <c r="I111" t="n">
        <v>0</v>
      </c>
      <c r="J111" t="n">
        <v>0</v>
      </c>
      <c r="K111" t="n">
        <v>0</v>
      </c>
      <c r="L111" t="n">
        <v>0</v>
      </c>
      <c r="M111" t="n">
        <v>0</v>
      </c>
      <c r="N111" t="n">
        <v>0</v>
      </c>
      <c r="O111" t="n">
        <v>0</v>
      </c>
      <c r="P111" t="n">
        <v>0</v>
      </c>
      <c r="Q111" t="n">
        <v>0</v>
      </c>
      <c r="R111" s="2" t="inlineStr"/>
    </row>
    <row r="112" ht="15" customHeight="1">
      <c r="A112" t="inlineStr">
        <is>
          <t>A 42850-2025</t>
        </is>
      </c>
      <c r="B112" s="1" t="n">
        <v>45908</v>
      </c>
      <c r="C112" s="1" t="n">
        <v>46035</v>
      </c>
      <c r="D112" t="inlineStr">
        <is>
          <t>DALARNAS LÄN</t>
        </is>
      </c>
      <c r="E112" t="inlineStr">
        <is>
          <t>GAGNEF</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42683-2025</t>
        </is>
      </c>
      <c r="B113" s="1" t="n">
        <v>45908.35057870371</v>
      </c>
      <c r="C113" s="1" t="n">
        <v>46035</v>
      </c>
      <c r="D113" t="inlineStr">
        <is>
          <t>DALARNAS LÄN</t>
        </is>
      </c>
      <c r="E113" t="inlineStr">
        <is>
          <t>GAGNEF</t>
        </is>
      </c>
      <c r="G113" t="n">
        <v>2.6</v>
      </c>
      <c r="H113" t="n">
        <v>0</v>
      </c>
      <c r="I113" t="n">
        <v>0</v>
      </c>
      <c r="J113" t="n">
        <v>0</v>
      </c>
      <c r="K113" t="n">
        <v>0</v>
      </c>
      <c r="L113" t="n">
        <v>0</v>
      </c>
      <c r="M113" t="n">
        <v>0</v>
      </c>
      <c r="N113" t="n">
        <v>0</v>
      </c>
      <c r="O113" t="n">
        <v>0</v>
      </c>
      <c r="P113" t="n">
        <v>0</v>
      </c>
      <c r="Q113" t="n">
        <v>0</v>
      </c>
      <c r="R113" s="2" t="inlineStr"/>
    </row>
    <row r="114" ht="15" customHeight="1">
      <c r="A114" t="inlineStr">
        <is>
          <t>A 35526-2024</t>
        </is>
      </c>
      <c r="B114" s="1" t="n">
        <v>45531.58143518519</v>
      </c>
      <c r="C114" s="1" t="n">
        <v>46035</v>
      </c>
      <c r="D114" t="inlineStr">
        <is>
          <t>DALARNAS LÄN</t>
        </is>
      </c>
      <c r="E114" t="inlineStr">
        <is>
          <t>GAGNEF</t>
        </is>
      </c>
      <c r="G114" t="n">
        <v>1.3</v>
      </c>
      <c r="H114" t="n">
        <v>0</v>
      </c>
      <c r="I114" t="n">
        <v>0</v>
      </c>
      <c r="J114" t="n">
        <v>0</v>
      </c>
      <c r="K114" t="n">
        <v>0</v>
      </c>
      <c r="L114" t="n">
        <v>0</v>
      </c>
      <c r="M114" t="n">
        <v>0</v>
      </c>
      <c r="N114" t="n">
        <v>0</v>
      </c>
      <c r="O114" t="n">
        <v>0</v>
      </c>
      <c r="P114" t="n">
        <v>0</v>
      </c>
      <c r="Q114" t="n">
        <v>0</v>
      </c>
      <c r="R114" s="2" t="inlineStr"/>
    </row>
    <row r="115" ht="15" customHeight="1">
      <c r="A115" t="inlineStr">
        <is>
          <t>A 49229-2025</t>
        </is>
      </c>
      <c r="B115" s="1" t="n">
        <v>45938.46975694445</v>
      </c>
      <c r="C115" s="1" t="n">
        <v>46035</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17321-2024</t>
        </is>
      </c>
      <c r="B116" s="1" t="n">
        <v>45414.53782407408</v>
      </c>
      <c r="C116" s="1" t="n">
        <v>46035</v>
      </c>
      <c r="D116" t="inlineStr">
        <is>
          <t>DALARNAS LÄN</t>
        </is>
      </c>
      <c r="E116" t="inlineStr">
        <is>
          <t>GAGNEF</t>
        </is>
      </c>
      <c r="G116" t="n">
        <v>3.5</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46035</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61499-2024</t>
        </is>
      </c>
      <c r="B118" s="1" t="n">
        <v>45646.55732638889</v>
      </c>
      <c r="C118" s="1" t="n">
        <v>46035</v>
      </c>
      <c r="D118" t="inlineStr">
        <is>
          <t>DALARNAS LÄN</t>
        </is>
      </c>
      <c r="E118" t="inlineStr">
        <is>
          <t>GAGNEF</t>
        </is>
      </c>
      <c r="G118" t="n">
        <v>3</v>
      </c>
      <c r="H118" t="n">
        <v>0</v>
      </c>
      <c r="I118" t="n">
        <v>0</v>
      </c>
      <c r="J118" t="n">
        <v>0</v>
      </c>
      <c r="K118" t="n">
        <v>0</v>
      </c>
      <c r="L118" t="n">
        <v>0</v>
      </c>
      <c r="M118" t="n">
        <v>0</v>
      </c>
      <c r="N118" t="n">
        <v>0</v>
      </c>
      <c r="O118" t="n">
        <v>0</v>
      </c>
      <c r="P118" t="n">
        <v>0</v>
      </c>
      <c r="Q118" t="n">
        <v>0</v>
      </c>
      <c r="R118" s="2" t="inlineStr"/>
    </row>
    <row r="119" ht="15" customHeight="1">
      <c r="A119" t="inlineStr">
        <is>
          <t>A 43631-2025</t>
        </is>
      </c>
      <c r="B119" s="1" t="n">
        <v>45911.70527777778</v>
      </c>
      <c r="C119" s="1" t="n">
        <v>46035</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46035</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46035</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46035</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46035</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44380-2025</t>
        </is>
      </c>
      <c r="B124" s="1" t="n">
        <v>45916.48267361111</v>
      </c>
      <c r="C124" s="1" t="n">
        <v>46035</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44836-2025</t>
        </is>
      </c>
      <c r="B125" s="1" t="n">
        <v>45918.41756944444</v>
      </c>
      <c r="C125" s="1" t="n">
        <v>46035</v>
      </c>
      <c r="D125" t="inlineStr">
        <is>
          <t>DALARNAS LÄN</t>
        </is>
      </c>
      <c r="E125" t="inlineStr">
        <is>
          <t>GAGNEF</t>
        </is>
      </c>
      <c r="G125" t="n">
        <v>2.4</v>
      </c>
      <c r="H125" t="n">
        <v>0</v>
      </c>
      <c r="I125" t="n">
        <v>0</v>
      </c>
      <c r="J125" t="n">
        <v>0</v>
      </c>
      <c r="K125" t="n">
        <v>0</v>
      </c>
      <c r="L125" t="n">
        <v>0</v>
      </c>
      <c r="M125" t="n">
        <v>0</v>
      </c>
      <c r="N125" t="n">
        <v>0</v>
      </c>
      <c r="O125" t="n">
        <v>0</v>
      </c>
      <c r="P125" t="n">
        <v>0</v>
      </c>
      <c r="Q125" t="n">
        <v>0</v>
      </c>
      <c r="R125" s="2" t="inlineStr"/>
    </row>
    <row r="126" ht="15" customHeight="1">
      <c r="A126" t="inlineStr">
        <is>
          <t>A 44587-2025</t>
        </is>
      </c>
      <c r="B126" s="1" t="n">
        <v>45917</v>
      </c>
      <c r="C126" s="1" t="n">
        <v>46035</v>
      </c>
      <c r="D126" t="inlineStr">
        <is>
          <t>DALARNAS LÄN</t>
        </is>
      </c>
      <c r="E126" t="inlineStr">
        <is>
          <t>GAGNEF</t>
        </is>
      </c>
      <c r="F126" t="inlineStr">
        <is>
          <t>Bergvik skog väst AB</t>
        </is>
      </c>
      <c r="G126" t="n">
        <v>10.3</v>
      </c>
      <c r="H126" t="n">
        <v>0</v>
      </c>
      <c r="I126" t="n">
        <v>0</v>
      </c>
      <c r="J126" t="n">
        <v>0</v>
      </c>
      <c r="K126" t="n">
        <v>0</v>
      </c>
      <c r="L126" t="n">
        <v>0</v>
      </c>
      <c r="M126" t="n">
        <v>0</v>
      </c>
      <c r="N126" t="n">
        <v>0</v>
      </c>
      <c r="O126" t="n">
        <v>0</v>
      </c>
      <c r="P126" t="n">
        <v>0</v>
      </c>
      <c r="Q126" t="n">
        <v>0</v>
      </c>
      <c r="R126" s="2" t="inlineStr"/>
    </row>
    <row r="127" ht="15" customHeight="1">
      <c r="A127" t="inlineStr">
        <is>
          <t>A 38074-2024</t>
        </is>
      </c>
      <c r="B127" s="1" t="n">
        <v>45545</v>
      </c>
      <c r="C127" s="1" t="n">
        <v>46035</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45497-2025</t>
        </is>
      </c>
      <c r="B128" s="1" t="n">
        <v>45922.56707175926</v>
      </c>
      <c r="C128" s="1" t="n">
        <v>46035</v>
      </c>
      <c r="D128" t="inlineStr">
        <is>
          <t>DALARNAS LÄN</t>
        </is>
      </c>
      <c r="E128" t="inlineStr">
        <is>
          <t>GAGNEF</t>
        </is>
      </c>
      <c r="G128" t="n">
        <v>0.9</v>
      </c>
      <c r="H128" t="n">
        <v>0</v>
      </c>
      <c r="I128" t="n">
        <v>0</v>
      </c>
      <c r="J128" t="n">
        <v>0</v>
      </c>
      <c r="K128" t="n">
        <v>0</v>
      </c>
      <c r="L128" t="n">
        <v>0</v>
      </c>
      <c r="M128" t="n">
        <v>0</v>
      </c>
      <c r="N128" t="n">
        <v>0</v>
      </c>
      <c r="O128" t="n">
        <v>0</v>
      </c>
      <c r="P128" t="n">
        <v>0</v>
      </c>
      <c r="Q128" t="n">
        <v>0</v>
      </c>
      <c r="R128" s="2" t="inlineStr"/>
    </row>
    <row r="129" ht="15" customHeight="1">
      <c r="A129" t="inlineStr">
        <is>
          <t>A 26369-2025</t>
        </is>
      </c>
      <c r="B129" s="1" t="n">
        <v>45806.39133101852</v>
      </c>
      <c r="C129" s="1" t="n">
        <v>46035</v>
      </c>
      <c r="D129" t="inlineStr">
        <is>
          <t>DALARNAS LÄN</t>
        </is>
      </c>
      <c r="E129" t="inlineStr">
        <is>
          <t>GAGNEF</t>
        </is>
      </c>
      <c r="G129" t="n">
        <v>12.9</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46035</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47294-2023</t>
        </is>
      </c>
      <c r="B131" s="1" t="n">
        <v>45202.47229166667</v>
      </c>
      <c r="C131" s="1" t="n">
        <v>46035</v>
      </c>
      <c r="D131" t="inlineStr">
        <is>
          <t>DALARNAS LÄN</t>
        </is>
      </c>
      <c r="E131" t="inlineStr">
        <is>
          <t>GAGNEF</t>
        </is>
      </c>
      <c r="G131" t="n">
        <v>54.2</v>
      </c>
      <c r="H131" t="n">
        <v>0</v>
      </c>
      <c r="I131" t="n">
        <v>0</v>
      </c>
      <c r="J131" t="n">
        <v>0</v>
      </c>
      <c r="K131" t="n">
        <v>0</v>
      </c>
      <c r="L131" t="n">
        <v>0</v>
      </c>
      <c r="M131" t="n">
        <v>0</v>
      </c>
      <c r="N131" t="n">
        <v>0</v>
      </c>
      <c r="O131" t="n">
        <v>0</v>
      </c>
      <c r="P131" t="n">
        <v>0</v>
      </c>
      <c r="Q131" t="n">
        <v>0</v>
      </c>
      <c r="R131" s="2" t="inlineStr"/>
    </row>
    <row r="132" ht="15" customHeight="1">
      <c r="A132" t="inlineStr">
        <is>
          <t>A 44149-2023</t>
        </is>
      </c>
      <c r="B132" s="1" t="n">
        <v>45188.47653935185</v>
      </c>
      <c r="C132" s="1" t="n">
        <v>46035</v>
      </c>
      <c r="D132" t="inlineStr">
        <is>
          <t>DALARNAS LÄN</t>
        </is>
      </c>
      <c r="E132" t="inlineStr">
        <is>
          <t>GAGNEF</t>
        </is>
      </c>
      <c r="G132" t="n">
        <v>1.7</v>
      </c>
      <c r="H132" t="n">
        <v>0</v>
      </c>
      <c r="I132" t="n">
        <v>0</v>
      </c>
      <c r="J132" t="n">
        <v>0</v>
      </c>
      <c r="K132" t="n">
        <v>0</v>
      </c>
      <c r="L132" t="n">
        <v>0</v>
      </c>
      <c r="M132" t="n">
        <v>0</v>
      </c>
      <c r="N132" t="n">
        <v>0</v>
      </c>
      <c r="O132" t="n">
        <v>0</v>
      </c>
      <c r="P132" t="n">
        <v>0</v>
      </c>
      <c r="Q132" t="n">
        <v>0</v>
      </c>
      <c r="R132" s="2" t="inlineStr"/>
    </row>
    <row r="133" ht="15" customHeight="1">
      <c r="A133" t="inlineStr">
        <is>
          <t>A 20486-2024</t>
        </is>
      </c>
      <c r="B133" s="1" t="n">
        <v>45435.76391203704</v>
      </c>
      <c r="C133" s="1" t="n">
        <v>46035</v>
      </c>
      <c r="D133" t="inlineStr">
        <is>
          <t>DALARNAS LÄN</t>
        </is>
      </c>
      <c r="E133" t="inlineStr">
        <is>
          <t>GAGNEF</t>
        </is>
      </c>
      <c r="G133" t="n">
        <v>10.1</v>
      </c>
      <c r="H133" t="n">
        <v>0</v>
      </c>
      <c r="I133" t="n">
        <v>0</v>
      </c>
      <c r="J133" t="n">
        <v>0</v>
      </c>
      <c r="K133" t="n">
        <v>0</v>
      </c>
      <c r="L133" t="n">
        <v>0</v>
      </c>
      <c r="M133" t="n">
        <v>0</v>
      </c>
      <c r="N133" t="n">
        <v>0</v>
      </c>
      <c r="O133" t="n">
        <v>0</v>
      </c>
      <c r="P133" t="n">
        <v>0</v>
      </c>
      <c r="Q133" t="n">
        <v>0</v>
      </c>
      <c r="R133" s="2" t="inlineStr"/>
    </row>
    <row r="134" ht="15" customHeight="1">
      <c r="A134" t="inlineStr">
        <is>
          <t>A 45688-2025</t>
        </is>
      </c>
      <c r="B134" s="1" t="n">
        <v>45923.38214120371</v>
      </c>
      <c r="C134" s="1" t="n">
        <v>46035</v>
      </c>
      <c r="D134" t="inlineStr">
        <is>
          <t>DALARNAS LÄN</t>
        </is>
      </c>
      <c r="E134" t="inlineStr">
        <is>
          <t>GAGNEF</t>
        </is>
      </c>
      <c r="G134" t="n">
        <v>5.1</v>
      </c>
      <c r="H134" t="n">
        <v>0</v>
      </c>
      <c r="I134" t="n">
        <v>0</v>
      </c>
      <c r="J134" t="n">
        <v>0</v>
      </c>
      <c r="K134" t="n">
        <v>0</v>
      </c>
      <c r="L134" t="n">
        <v>0</v>
      </c>
      <c r="M134" t="n">
        <v>0</v>
      </c>
      <c r="N134" t="n">
        <v>0</v>
      </c>
      <c r="O134" t="n">
        <v>0</v>
      </c>
      <c r="P134" t="n">
        <v>0</v>
      </c>
      <c r="Q134" t="n">
        <v>0</v>
      </c>
      <c r="R134" s="2" t="inlineStr"/>
    </row>
    <row r="135" ht="15" customHeight="1">
      <c r="A135" t="inlineStr">
        <is>
          <t>A 45989-2025</t>
        </is>
      </c>
      <c r="B135" s="1" t="n">
        <v>45924.38699074074</v>
      </c>
      <c r="C135" s="1" t="n">
        <v>46035</v>
      </c>
      <c r="D135" t="inlineStr">
        <is>
          <t>DALARNAS LÄN</t>
        </is>
      </c>
      <c r="E135" t="inlineStr">
        <is>
          <t>GAGNEF</t>
        </is>
      </c>
      <c r="G135" t="n">
        <v>2.9</v>
      </c>
      <c r="H135" t="n">
        <v>0</v>
      </c>
      <c r="I135" t="n">
        <v>0</v>
      </c>
      <c r="J135" t="n">
        <v>0</v>
      </c>
      <c r="K135" t="n">
        <v>0</v>
      </c>
      <c r="L135" t="n">
        <v>0</v>
      </c>
      <c r="M135" t="n">
        <v>0</v>
      </c>
      <c r="N135" t="n">
        <v>0</v>
      </c>
      <c r="O135" t="n">
        <v>0</v>
      </c>
      <c r="P135" t="n">
        <v>0</v>
      </c>
      <c r="Q135" t="n">
        <v>0</v>
      </c>
      <c r="R135" s="2" t="inlineStr"/>
    </row>
    <row r="136" ht="15" customHeight="1">
      <c r="A136" t="inlineStr">
        <is>
          <t>A 1918-2025</t>
        </is>
      </c>
      <c r="B136" s="1" t="n">
        <v>45671.66840277778</v>
      </c>
      <c r="C136" s="1" t="n">
        <v>46035</v>
      </c>
      <c r="D136" t="inlineStr">
        <is>
          <t>DALARNAS LÄN</t>
        </is>
      </c>
      <c r="E136" t="inlineStr">
        <is>
          <t>GAGNEF</t>
        </is>
      </c>
      <c r="G136" t="n">
        <v>6.8</v>
      </c>
      <c r="H136" t="n">
        <v>0</v>
      </c>
      <c r="I136" t="n">
        <v>0</v>
      </c>
      <c r="J136" t="n">
        <v>0</v>
      </c>
      <c r="K136" t="n">
        <v>0</v>
      </c>
      <c r="L136" t="n">
        <v>0</v>
      </c>
      <c r="M136" t="n">
        <v>0</v>
      </c>
      <c r="N136" t="n">
        <v>0</v>
      </c>
      <c r="O136" t="n">
        <v>0</v>
      </c>
      <c r="P136" t="n">
        <v>0</v>
      </c>
      <c r="Q136" t="n">
        <v>0</v>
      </c>
      <c r="R136" s="2" t="inlineStr"/>
    </row>
    <row r="137" ht="15" customHeight="1">
      <c r="A137" t="inlineStr">
        <is>
          <t>A 47470-2025</t>
        </is>
      </c>
      <c r="B137" s="1" t="n">
        <v>45930.67282407408</v>
      </c>
      <c r="C137" s="1" t="n">
        <v>46035</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42596-2021</t>
        </is>
      </c>
      <c r="B138" s="1" t="n">
        <v>44428.37861111111</v>
      </c>
      <c r="C138" s="1" t="n">
        <v>46035</v>
      </c>
      <c r="D138" t="inlineStr">
        <is>
          <t>DALARNAS LÄN</t>
        </is>
      </c>
      <c r="E138" t="inlineStr">
        <is>
          <t>GAGNEF</t>
        </is>
      </c>
      <c r="G138" t="n">
        <v>1.7</v>
      </c>
      <c r="H138" t="n">
        <v>0</v>
      </c>
      <c r="I138" t="n">
        <v>0</v>
      </c>
      <c r="J138" t="n">
        <v>0</v>
      </c>
      <c r="K138" t="n">
        <v>0</v>
      </c>
      <c r="L138" t="n">
        <v>0</v>
      </c>
      <c r="M138" t="n">
        <v>0</v>
      </c>
      <c r="N138" t="n">
        <v>0</v>
      </c>
      <c r="O138" t="n">
        <v>0</v>
      </c>
      <c r="P138" t="n">
        <v>0</v>
      </c>
      <c r="Q138" t="n">
        <v>0</v>
      </c>
      <c r="R138" s="2" t="inlineStr"/>
    </row>
    <row r="139" ht="15" customHeight="1">
      <c r="A139" t="inlineStr">
        <is>
          <t>A 42715-2024</t>
        </is>
      </c>
      <c r="B139" s="1" t="n">
        <v>45566.45429398148</v>
      </c>
      <c r="C139" s="1" t="n">
        <v>46035</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7817-2023</t>
        </is>
      </c>
      <c r="B140" s="1" t="n">
        <v>44973.4645949074</v>
      </c>
      <c r="C140" s="1" t="n">
        <v>46035</v>
      </c>
      <c r="D140" t="inlineStr">
        <is>
          <t>DALARNAS LÄN</t>
        </is>
      </c>
      <c r="E140" t="inlineStr">
        <is>
          <t>GAGNEF</t>
        </is>
      </c>
      <c r="G140" t="n">
        <v>0.6</v>
      </c>
      <c r="H140" t="n">
        <v>0</v>
      </c>
      <c r="I140" t="n">
        <v>0</v>
      </c>
      <c r="J140" t="n">
        <v>0</v>
      </c>
      <c r="K140" t="n">
        <v>0</v>
      </c>
      <c r="L140" t="n">
        <v>0</v>
      </c>
      <c r="M140" t="n">
        <v>0</v>
      </c>
      <c r="N140" t="n">
        <v>0</v>
      </c>
      <c r="O140" t="n">
        <v>0</v>
      </c>
      <c r="P140" t="n">
        <v>0</v>
      </c>
      <c r="Q140" t="n">
        <v>0</v>
      </c>
      <c r="R140" s="2" t="inlineStr"/>
    </row>
    <row r="141" ht="15" customHeight="1">
      <c r="A141" t="inlineStr">
        <is>
          <t>A 47285-2025</t>
        </is>
      </c>
      <c r="B141" s="1" t="n">
        <v>45930.48280092593</v>
      </c>
      <c r="C141" s="1" t="n">
        <v>46035</v>
      </c>
      <c r="D141" t="inlineStr">
        <is>
          <t>DALARNAS LÄN</t>
        </is>
      </c>
      <c r="E141" t="inlineStr">
        <is>
          <t>GAGNEF</t>
        </is>
      </c>
      <c r="G141" t="n">
        <v>7.8</v>
      </c>
      <c r="H141" t="n">
        <v>0</v>
      </c>
      <c r="I141" t="n">
        <v>0</v>
      </c>
      <c r="J141" t="n">
        <v>0</v>
      </c>
      <c r="K141" t="n">
        <v>0</v>
      </c>
      <c r="L141" t="n">
        <v>0</v>
      </c>
      <c r="M141" t="n">
        <v>0</v>
      </c>
      <c r="N141" t="n">
        <v>0</v>
      </c>
      <c r="O141" t="n">
        <v>0</v>
      </c>
      <c r="P141" t="n">
        <v>0</v>
      </c>
      <c r="Q141" t="n">
        <v>0</v>
      </c>
      <c r="R141" s="2" t="inlineStr"/>
    </row>
    <row r="142" ht="15" customHeight="1">
      <c r="A142" t="inlineStr">
        <is>
          <t>A 43911-2024</t>
        </is>
      </c>
      <c r="B142" s="1" t="n">
        <v>45572.43356481481</v>
      </c>
      <c r="C142" s="1" t="n">
        <v>46035</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43913-2024</t>
        </is>
      </c>
      <c r="B143" s="1" t="n">
        <v>45572</v>
      </c>
      <c r="C143" s="1" t="n">
        <v>46035</v>
      </c>
      <c r="D143" t="inlineStr">
        <is>
          <t>DALARNAS LÄN</t>
        </is>
      </c>
      <c r="E143" t="inlineStr">
        <is>
          <t>GAGNEF</t>
        </is>
      </c>
      <c r="G143" t="n">
        <v>1.5</v>
      </c>
      <c r="H143" t="n">
        <v>0</v>
      </c>
      <c r="I143" t="n">
        <v>0</v>
      </c>
      <c r="J143" t="n">
        <v>0</v>
      </c>
      <c r="K143" t="n">
        <v>0</v>
      </c>
      <c r="L143" t="n">
        <v>0</v>
      </c>
      <c r="M143" t="n">
        <v>0</v>
      </c>
      <c r="N143" t="n">
        <v>0</v>
      </c>
      <c r="O143" t="n">
        <v>0</v>
      </c>
      <c r="P143" t="n">
        <v>0</v>
      </c>
      <c r="Q143" t="n">
        <v>0</v>
      </c>
      <c r="R143" s="2" t="inlineStr"/>
    </row>
    <row r="144" ht="15" customHeight="1">
      <c r="A144" t="inlineStr">
        <is>
          <t>A 27387-2025</t>
        </is>
      </c>
      <c r="B144" s="1" t="n">
        <v>45812</v>
      </c>
      <c r="C144" s="1" t="n">
        <v>46035</v>
      </c>
      <c r="D144" t="inlineStr">
        <is>
          <t>DALARNAS LÄN</t>
        </is>
      </c>
      <c r="E144" t="inlineStr">
        <is>
          <t>GAGNEF</t>
        </is>
      </c>
      <c r="G144" t="n">
        <v>4.4</v>
      </c>
      <c r="H144" t="n">
        <v>0</v>
      </c>
      <c r="I144" t="n">
        <v>0</v>
      </c>
      <c r="J144" t="n">
        <v>0</v>
      </c>
      <c r="K144" t="n">
        <v>0</v>
      </c>
      <c r="L144" t="n">
        <v>0</v>
      </c>
      <c r="M144" t="n">
        <v>0</v>
      </c>
      <c r="N144" t="n">
        <v>0</v>
      </c>
      <c r="O144" t="n">
        <v>0</v>
      </c>
      <c r="P144" t="n">
        <v>0</v>
      </c>
      <c r="Q144" t="n">
        <v>0</v>
      </c>
      <c r="R144" s="2" t="inlineStr"/>
    </row>
    <row r="145" ht="15" customHeight="1">
      <c r="A145" t="inlineStr">
        <is>
          <t>A 5294-2025</t>
        </is>
      </c>
      <c r="B145" s="1" t="n">
        <v>45692.44940972222</v>
      </c>
      <c r="C145" s="1" t="n">
        <v>46035</v>
      </c>
      <c r="D145" t="inlineStr">
        <is>
          <t>DALARNAS LÄN</t>
        </is>
      </c>
      <c r="E145" t="inlineStr">
        <is>
          <t>GAGNEF</t>
        </is>
      </c>
      <c r="G145" t="n">
        <v>6.2</v>
      </c>
      <c r="H145" t="n">
        <v>0</v>
      </c>
      <c r="I145" t="n">
        <v>0</v>
      </c>
      <c r="J145" t="n">
        <v>0</v>
      </c>
      <c r="K145" t="n">
        <v>0</v>
      </c>
      <c r="L145" t="n">
        <v>0</v>
      </c>
      <c r="M145" t="n">
        <v>0</v>
      </c>
      <c r="N145" t="n">
        <v>0</v>
      </c>
      <c r="O145" t="n">
        <v>0</v>
      </c>
      <c r="P145" t="n">
        <v>0</v>
      </c>
      <c r="Q145" t="n">
        <v>0</v>
      </c>
      <c r="R145" s="2" t="inlineStr"/>
    </row>
    <row r="146" ht="15" customHeight="1">
      <c r="A146" t="inlineStr">
        <is>
          <t>A 47295-2025</t>
        </is>
      </c>
      <c r="B146" s="1" t="n">
        <v>45930.49263888889</v>
      </c>
      <c r="C146" s="1" t="n">
        <v>46035</v>
      </c>
      <c r="D146" t="inlineStr">
        <is>
          <t>DALARNAS LÄN</t>
        </is>
      </c>
      <c r="E146" t="inlineStr">
        <is>
          <t>GAGNEF</t>
        </is>
      </c>
      <c r="G146" t="n">
        <v>3.2</v>
      </c>
      <c r="H146" t="n">
        <v>0</v>
      </c>
      <c r="I146" t="n">
        <v>0</v>
      </c>
      <c r="J146" t="n">
        <v>0</v>
      </c>
      <c r="K146" t="n">
        <v>0</v>
      </c>
      <c r="L146" t="n">
        <v>0</v>
      </c>
      <c r="M146" t="n">
        <v>0</v>
      </c>
      <c r="N146" t="n">
        <v>0</v>
      </c>
      <c r="O146" t="n">
        <v>0</v>
      </c>
      <c r="P146" t="n">
        <v>0</v>
      </c>
      <c r="Q146" t="n">
        <v>0</v>
      </c>
      <c r="R146" s="2" t="inlineStr"/>
    </row>
    <row r="147" ht="15" customHeight="1">
      <c r="A147" t="inlineStr">
        <is>
          <t>A 61871-2024</t>
        </is>
      </c>
      <c r="B147" s="1" t="n">
        <v>45651.8659375</v>
      </c>
      <c r="C147" s="1" t="n">
        <v>46035</v>
      </c>
      <c r="D147" t="inlineStr">
        <is>
          <t>DALARNAS LÄN</t>
        </is>
      </c>
      <c r="E147" t="inlineStr">
        <is>
          <t>GAGNEF</t>
        </is>
      </c>
      <c r="F147" t="inlineStr">
        <is>
          <t>Bergvik skog väst AB</t>
        </is>
      </c>
      <c r="G147" t="n">
        <v>10</v>
      </c>
      <c r="H147" t="n">
        <v>0</v>
      </c>
      <c r="I147" t="n">
        <v>0</v>
      </c>
      <c r="J147" t="n">
        <v>0</v>
      </c>
      <c r="K147" t="n">
        <v>0</v>
      </c>
      <c r="L147" t="n">
        <v>0</v>
      </c>
      <c r="M147" t="n">
        <v>0</v>
      </c>
      <c r="N147" t="n">
        <v>0</v>
      </c>
      <c r="O147" t="n">
        <v>0</v>
      </c>
      <c r="P147" t="n">
        <v>0</v>
      </c>
      <c r="Q147" t="n">
        <v>0</v>
      </c>
      <c r="R147" s="2" t="inlineStr"/>
    </row>
    <row r="148" ht="15" customHeight="1">
      <c r="A148" t="inlineStr">
        <is>
          <t>A 44334-2024</t>
        </is>
      </c>
      <c r="B148" s="1" t="n">
        <v>45573.60828703704</v>
      </c>
      <c r="C148" s="1" t="n">
        <v>46035</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16388-2022</t>
        </is>
      </c>
      <c r="B149" s="1" t="n">
        <v>44671</v>
      </c>
      <c r="C149" s="1" t="n">
        <v>46035</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38426-2024</t>
        </is>
      </c>
      <c r="B150" s="1" t="n">
        <v>45546.3780787037</v>
      </c>
      <c r="C150" s="1" t="n">
        <v>46035</v>
      </c>
      <c r="D150" t="inlineStr">
        <is>
          <t>DALARNAS LÄN</t>
        </is>
      </c>
      <c r="E150" t="inlineStr">
        <is>
          <t>GAGNEF</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49762-2025</t>
        </is>
      </c>
      <c r="B151" s="1" t="n">
        <v>45940.3487962963</v>
      </c>
      <c r="C151" s="1" t="n">
        <v>46035</v>
      </c>
      <c r="D151" t="inlineStr">
        <is>
          <t>DALARNAS LÄN</t>
        </is>
      </c>
      <c r="E151" t="inlineStr">
        <is>
          <t>GAGNEF</t>
        </is>
      </c>
      <c r="G151" t="n">
        <v>2.5</v>
      </c>
      <c r="H151" t="n">
        <v>0</v>
      </c>
      <c r="I151" t="n">
        <v>0</v>
      </c>
      <c r="J151" t="n">
        <v>0</v>
      </c>
      <c r="K151" t="n">
        <v>0</v>
      </c>
      <c r="L151" t="n">
        <v>0</v>
      </c>
      <c r="M151" t="n">
        <v>0</v>
      </c>
      <c r="N151" t="n">
        <v>0</v>
      </c>
      <c r="O151" t="n">
        <v>0</v>
      </c>
      <c r="P151" t="n">
        <v>0</v>
      </c>
      <c r="Q151" t="n">
        <v>0</v>
      </c>
      <c r="R151" s="2" t="inlineStr"/>
    </row>
    <row r="152" ht="15" customHeight="1">
      <c r="A152" t="inlineStr">
        <is>
          <t>A 13169-2025</t>
        </is>
      </c>
      <c r="B152" s="1" t="n">
        <v>45735.36532407408</v>
      </c>
      <c r="C152" s="1" t="n">
        <v>46035</v>
      </c>
      <c r="D152" t="inlineStr">
        <is>
          <t>DALARNAS LÄN</t>
        </is>
      </c>
      <c r="E152" t="inlineStr">
        <is>
          <t>GAGNEF</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42704-2024</t>
        </is>
      </c>
      <c r="B153" s="1" t="n">
        <v>45566.43722222222</v>
      </c>
      <c r="C153" s="1" t="n">
        <v>46035</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42713-2024</t>
        </is>
      </c>
      <c r="B154" s="1" t="n">
        <v>45566</v>
      </c>
      <c r="C154" s="1" t="n">
        <v>46035</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27889-2025</t>
        </is>
      </c>
      <c r="B155" s="1" t="n">
        <v>45817</v>
      </c>
      <c r="C155" s="1" t="n">
        <v>46035</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47054-2025</t>
        </is>
      </c>
      <c r="B156" s="1" t="n">
        <v>45929</v>
      </c>
      <c r="C156" s="1" t="n">
        <v>46035</v>
      </c>
      <c r="D156" t="inlineStr">
        <is>
          <t>DALARNAS LÄN</t>
        </is>
      </c>
      <c r="E156" t="inlineStr">
        <is>
          <t>GAGNEF</t>
        </is>
      </c>
      <c r="F156" t="inlineStr">
        <is>
          <t>Bergvik skog väst AB</t>
        </is>
      </c>
      <c r="G156" t="n">
        <v>17.1</v>
      </c>
      <c r="H156" t="n">
        <v>0</v>
      </c>
      <c r="I156" t="n">
        <v>0</v>
      </c>
      <c r="J156" t="n">
        <v>0</v>
      </c>
      <c r="K156" t="n">
        <v>0</v>
      </c>
      <c r="L156" t="n">
        <v>0</v>
      </c>
      <c r="M156" t="n">
        <v>0</v>
      </c>
      <c r="N156" t="n">
        <v>0</v>
      </c>
      <c r="O156" t="n">
        <v>0</v>
      </c>
      <c r="P156" t="n">
        <v>0</v>
      </c>
      <c r="Q156" t="n">
        <v>0</v>
      </c>
      <c r="R156" s="2" t="inlineStr"/>
    </row>
    <row r="157" ht="15" customHeight="1">
      <c r="A157" t="inlineStr">
        <is>
          <t>A 49961-2025</t>
        </is>
      </c>
      <c r="B157" s="1" t="n">
        <v>45941.37351851852</v>
      </c>
      <c r="C157" s="1" t="n">
        <v>46035</v>
      </c>
      <c r="D157" t="inlineStr">
        <is>
          <t>DALARNAS LÄN</t>
        </is>
      </c>
      <c r="E157" t="inlineStr">
        <is>
          <t>GAGNEF</t>
        </is>
      </c>
      <c r="G157" t="n">
        <v>2.1</v>
      </c>
      <c r="H157" t="n">
        <v>0</v>
      </c>
      <c r="I157" t="n">
        <v>0</v>
      </c>
      <c r="J157" t="n">
        <v>0</v>
      </c>
      <c r="K157" t="n">
        <v>0</v>
      </c>
      <c r="L157" t="n">
        <v>0</v>
      </c>
      <c r="M157" t="n">
        <v>0</v>
      </c>
      <c r="N157" t="n">
        <v>0</v>
      </c>
      <c r="O157" t="n">
        <v>0</v>
      </c>
      <c r="P157" t="n">
        <v>0</v>
      </c>
      <c r="Q157" t="n">
        <v>0</v>
      </c>
      <c r="R157" s="2" t="inlineStr"/>
    </row>
    <row r="158" ht="15" customHeight="1">
      <c r="A158" t="inlineStr">
        <is>
          <t>A 49962-2025</t>
        </is>
      </c>
      <c r="B158" s="1" t="n">
        <v>45941.37846064815</v>
      </c>
      <c r="C158" s="1" t="n">
        <v>46035</v>
      </c>
      <c r="D158" t="inlineStr">
        <is>
          <t>DALARNAS LÄN</t>
        </is>
      </c>
      <c r="E158" t="inlineStr">
        <is>
          <t>GAGNEF</t>
        </is>
      </c>
      <c r="G158" t="n">
        <v>2.8</v>
      </c>
      <c r="H158" t="n">
        <v>0</v>
      </c>
      <c r="I158" t="n">
        <v>0</v>
      </c>
      <c r="J158" t="n">
        <v>0</v>
      </c>
      <c r="K158" t="n">
        <v>0</v>
      </c>
      <c r="L158" t="n">
        <v>0</v>
      </c>
      <c r="M158" t="n">
        <v>0</v>
      </c>
      <c r="N158" t="n">
        <v>0</v>
      </c>
      <c r="O158" t="n">
        <v>0</v>
      </c>
      <c r="P158" t="n">
        <v>0</v>
      </c>
      <c r="Q158" t="n">
        <v>0</v>
      </c>
      <c r="R158" s="2" t="inlineStr"/>
    </row>
    <row r="159" ht="15" customHeight="1">
      <c r="A159" t="inlineStr">
        <is>
          <t>A 45961-2025</t>
        </is>
      </c>
      <c r="B159" s="1" t="n">
        <v>45924</v>
      </c>
      <c r="C159" s="1" t="n">
        <v>46035</v>
      </c>
      <c r="D159" t="inlineStr">
        <is>
          <t>DALARNAS LÄN</t>
        </is>
      </c>
      <c r="E159" t="inlineStr">
        <is>
          <t>GAGNEF</t>
        </is>
      </c>
      <c r="F159" t="inlineStr">
        <is>
          <t>Bergvik skog väst AB</t>
        </is>
      </c>
      <c r="G159" t="n">
        <v>3.2</v>
      </c>
      <c r="H159" t="n">
        <v>0</v>
      </c>
      <c r="I159" t="n">
        <v>0</v>
      </c>
      <c r="J159" t="n">
        <v>0</v>
      </c>
      <c r="K159" t="n">
        <v>0</v>
      </c>
      <c r="L159" t="n">
        <v>0</v>
      </c>
      <c r="M159" t="n">
        <v>0</v>
      </c>
      <c r="N159" t="n">
        <v>0</v>
      </c>
      <c r="O159" t="n">
        <v>0</v>
      </c>
      <c r="P159" t="n">
        <v>0</v>
      </c>
      <c r="Q159" t="n">
        <v>0</v>
      </c>
      <c r="R159" s="2" t="inlineStr"/>
    </row>
    <row r="160" ht="15" customHeight="1">
      <c r="A160" t="inlineStr">
        <is>
          <t>A 41368-2023</t>
        </is>
      </c>
      <c r="B160" s="1" t="n">
        <v>45174</v>
      </c>
      <c r="C160" s="1" t="n">
        <v>46035</v>
      </c>
      <c r="D160" t="inlineStr">
        <is>
          <t>DALARNAS LÄN</t>
        </is>
      </c>
      <c r="E160" t="inlineStr">
        <is>
          <t>GAGNEF</t>
        </is>
      </c>
      <c r="G160" t="n">
        <v>0.2</v>
      </c>
      <c r="H160" t="n">
        <v>0</v>
      </c>
      <c r="I160" t="n">
        <v>0</v>
      </c>
      <c r="J160" t="n">
        <v>0</v>
      </c>
      <c r="K160" t="n">
        <v>0</v>
      </c>
      <c r="L160" t="n">
        <v>0</v>
      </c>
      <c r="M160" t="n">
        <v>0</v>
      </c>
      <c r="N160" t="n">
        <v>0</v>
      </c>
      <c r="O160" t="n">
        <v>0</v>
      </c>
      <c r="P160" t="n">
        <v>0</v>
      </c>
      <c r="Q160" t="n">
        <v>0</v>
      </c>
      <c r="R160" s="2" t="inlineStr"/>
    </row>
    <row r="161" ht="15" customHeight="1">
      <c r="A161" t="inlineStr">
        <is>
          <t>A 5519-2025</t>
        </is>
      </c>
      <c r="B161" s="1" t="n">
        <v>45693.40930555556</v>
      </c>
      <c r="C161" s="1" t="n">
        <v>46035</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29848-2025</t>
        </is>
      </c>
      <c r="B162" s="1" t="n">
        <v>45826</v>
      </c>
      <c r="C162" s="1" t="n">
        <v>46035</v>
      </c>
      <c r="D162" t="inlineStr">
        <is>
          <t>DALARNAS LÄN</t>
        </is>
      </c>
      <c r="E162" t="inlineStr">
        <is>
          <t>GAGNEF</t>
        </is>
      </c>
      <c r="G162" t="n">
        <v>4.1</v>
      </c>
      <c r="H162" t="n">
        <v>0</v>
      </c>
      <c r="I162" t="n">
        <v>0</v>
      </c>
      <c r="J162" t="n">
        <v>0</v>
      </c>
      <c r="K162" t="n">
        <v>0</v>
      </c>
      <c r="L162" t="n">
        <v>0</v>
      </c>
      <c r="M162" t="n">
        <v>0</v>
      </c>
      <c r="N162" t="n">
        <v>0</v>
      </c>
      <c r="O162" t="n">
        <v>0</v>
      </c>
      <c r="P162" t="n">
        <v>0</v>
      </c>
      <c r="Q162" t="n">
        <v>0</v>
      </c>
      <c r="R162" s="2" t="inlineStr"/>
    </row>
    <row r="163" ht="15" customHeight="1">
      <c r="A163" t="inlineStr">
        <is>
          <t>A 30098-2025</t>
        </is>
      </c>
      <c r="B163" s="1" t="n">
        <v>45826.67533564815</v>
      </c>
      <c r="C163" s="1" t="n">
        <v>46035</v>
      </c>
      <c r="D163" t="inlineStr">
        <is>
          <t>DALARNAS LÄN</t>
        </is>
      </c>
      <c r="E163" t="inlineStr">
        <is>
          <t>GAGNEF</t>
        </is>
      </c>
      <c r="G163" t="n">
        <v>0.5</v>
      </c>
      <c r="H163" t="n">
        <v>0</v>
      </c>
      <c r="I163" t="n">
        <v>0</v>
      </c>
      <c r="J163" t="n">
        <v>0</v>
      </c>
      <c r="K163" t="n">
        <v>0</v>
      </c>
      <c r="L163" t="n">
        <v>0</v>
      </c>
      <c r="M163" t="n">
        <v>0</v>
      </c>
      <c r="N163" t="n">
        <v>0</v>
      </c>
      <c r="O163" t="n">
        <v>0</v>
      </c>
      <c r="P163" t="n">
        <v>0</v>
      </c>
      <c r="Q163" t="n">
        <v>0</v>
      </c>
      <c r="R163" s="2" t="inlineStr"/>
    </row>
    <row r="164" ht="15" customHeight="1">
      <c r="A164" t="inlineStr">
        <is>
          <t>A 50754-2025</t>
        </is>
      </c>
      <c r="B164" s="1" t="n">
        <v>45946.40530092592</v>
      </c>
      <c r="C164" s="1" t="n">
        <v>46035</v>
      </c>
      <c r="D164" t="inlineStr">
        <is>
          <t>DALARNAS LÄN</t>
        </is>
      </c>
      <c r="E164" t="inlineStr">
        <is>
          <t>GAGNEF</t>
        </is>
      </c>
      <c r="G164" t="n">
        <v>0.7</v>
      </c>
      <c r="H164" t="n">
        <v>0</v>
      </c>
      <c r="I164" t="n">
        <v>0</v>
      </c>
      <c r="J164" t="n">
        <v>0</v>
      </c>
      <c r="K164" t="n">
        <v>0</v>
      </c>
      <c r="L164" t="n">
        <v>0</v>
      </c>
      <c r="M164" t="n">
        <v>0</v>
      </c>
      <c r="N164" t="n">
        <v>0</v>
      </c>
      <c r="O164" t="n">
        <v>0</v>
      </c>
      <c r="P164" t="n">
        <v>0</v>
      </c>
      <c r="Q164" t="n">
        <v>0</v>
      </c>
      <c r="R164" s="2" t="inlineStr"/>
    </row>
    <row r="165" ht="15" customHeight="1">
      <c r="A165" t="inlineStr">
        <is>
          <t>A 51496-2023</t>
        </is>
      </c>
      <c r="B165" s="1" t="n">
        <v>45222</v>
      </c>
      <c r="C165" s="1" t="n">
        <v>46035</v>
      </c>
      <c r="D165" t="inlineStr">
        <is>
          <t>DALARNAS LÄN</t>
        </is>
      </c>
      <c r="E165" t="inlineStr">
        <is>
          <t>GAGNEF</t>
        </is>
      </c>
      <c r="G165" t="n">
        <v>1.4</v>
      </c>
      <c r="H165" t="n">
        <v>0</v>
      </c>
      <c r="I165" t="n">
        <v>0</v>
      </c>
      <c r="J165" t="n">
        <v>0</v>
      </c>
      <c r="K165" t="n">
        <v>0</v>
      </c>
      <c r="L165" t="n">
        <v>0</v>
      </c>
      <c r="M165" t="n">
        <v>0</v>
      </c>
      <c r="N165" t="n">
        <v>0</v>
      </c>
      <c r="O165" t="n">
        <v>0</v>
      </c>
      <c r="P165" t="n">
        <v>0</v>
      </c>
      <c r="Q165" t="n">
        <v>0</v>
      </c>
      <c r="R165" s="2" t="inlineStr"/>
    </row>
    <row r="166" ht="15" customHeight="1">
      <c r="A166" t="inlineStr">
        <is>
          <t>A 19344-2025</t>
        </is>
      </c>
      <c r="B166" s="1" t="n">
        <v>45769.59975694444</v>
      </c>
      <c r="C166" s="1" t="n">
        <v>46035</v>
      </c>
      <c r="D166" t="inlineStr">
        <is>
          <t>DALARNAS LÄN</t>
        </is>
      </c>
      <c r="E166" t="inlineStr">
        <is>
          <t>GAGNEF</t>
        </is>
      </c>
      <c r="G166" t="n">
        <v>3.4</v>
      </c>
      <c r="H166" t="n">
        <v>0</v>
      </c>
      <c r="I166" t="n">
        <v>0</v>
      </c>
      <c r="J166" t="n">
        <v>0</v>
      </c>
      <c r="K166" t="n">
        <v>0</v>
      </c>
      <c r="L166" t="n">
        <v>0</v>
      </c>
      <c r="M166" t="n">
        <v>0</v>
      </c>
      <c r="N166" t="n">
        <v>0</v>
      </c>
      <c r="O166" t="n">
        <v>0</v>
      </c>
      <c r="P166" t="n">
        <v>0</v>
      </c>
      <c r="Q166" t="n">
        <v>0</v>
      </c>
      <c r="R166" s="2" t="inlineStr"/>
    </row>
    <row r="167" ht="15" customHeight="1">
      <c r="A167" t="inlineStr">
        <is>
          <t>A 15629-2022</t>
        </is>
      </c>
      <c r="B167" s="1" t="n">
        <v>44662.77332175926</v>
      </c>
      <c r="C167" s="1" t="n">
        <v>46035</v>
      </c>
      <c r="D167" t="inlineStr">
        <is>
          <t>DALARNAS LÄN</t>
        </is>
      </c>
      <c r="E167" t="inlineStr">
        <is>
          <t>GAGNEF</t>
        </is>
      </c>
      <c r="G167" t="n">
        <v>2.8</v>
      </c>
      <c r="H167" t="n">
        <v>0</v>
      </c>
      <c r="I167" t="n">
        <v>0</v>
      </c>
      <c r="J167" t="n">
        <v>0</v>
      </c>
      <c r="K167" t="n">
        <v>0</v>
      </c>
      <c r="L167" t="n">
        <v>0</v>
      </c>
      <c r="M167" t="n">
        <v>0</v>
      </c>
      <c r="N167" t="n">
        <v>0</v>
      </c>
      <c r="O167" t="n">
        <v>0</v>
      </c>
      <c r="P167" t="n">
        <v>0</v>
      </c>
      <c r="Q167" t="n">
        <v>0</v>
      </c>
      <c r="R167" s="2" t="inlineStr"/>
    </row>
    <row r="168" ht="15" customHeight="1">
      <c r="A168" t="inlineStr">
        <is>
          <t>A 52432-2024</t>
        </is>
      </c>
      <c r="B168" s="1" t="n">
        <v>45608</v>
      </c>
      <c r="C168" s="1" t="n">
        <v>46035</v>
      </c>
      <c r="D168" t="inlineStr">
        <is>
          <t>DALARNAS LÄN</t>
        </is>
      </c>
      <c r="E168" t="inlineStr">
        <is>
          <t>GAGNEF</t>
        </is>
      </c>
      <c r="G168" t="n">
        <v>1.6</v>
      </c>
      <c r="H168" t="n">
        <v>0</v>
      </c>
      <c r="I168" t="n">
        <v>0</v>
      </c>
      <c r="J168" t="n">
        <v>0</v>
      </c>
      <c r="K168" t="n">
        <v>0</v>
      </c>
      <c r="L168" t="n">
        <v>0</v>
      </c>
      <c r="M168" t="n">
        <v>0</v>
      </c>
      <c r="N168" t="n">
        <v>0</v>
      </c>
      <c r="O168" t="n">
        <v>0</v>
      </c>
      <c r="P168" t="n">
        <v>0</v>
      </c>
      <c r="Q168" t="n">
        <v>0</v>
      </c>
      <c r="R168" s="2" t="inlineStr"/>
    </row>
    <row r="169" ht="15" customHeight="1">
      <c r="A169" t="inlineStr">
        <is>
          <t>A 57134-2022</t>
        </is>
      </c>
      <c r="B169" s="1" t="n">
        <v>44895</v>
      </c>
      <c r="C169" s="1" t="n">
        <v>46035</v>
      </c>
      <c r="D169" t="inlineStr">
        <is>
          <t>DALARNAS LÄN</t>
        </is>
      </c>
      <c r="E169" t="inlineStr">
        <is>
          <t>GAGNEF</t>
        </is>
      </c>
      <c r="G169" t="n">
        <v>3.5</v>
      </c>
      <c r="H169" t="n">
        <v>0</v>
      </c>
      <c r="I169" t="n">
        <v>0</v>
      </c>
      <c r="J169" t="n">
        <v>0</v>
      </c>
      <c r="K169" t="n">
        <v>0</v>
      </c>
      <c r="L169" t="n">
        <v>0</v>
      </c>
      <c r="M169" t="n">
        <v>0</v>
      </c>
      <c r="N169" t="n">
        <v>0</v>
      </c>
      <c r="O169" t="n">
        <v>0</v>
      </c>
      <c r="P169" t="n">
        <v>0</v>
      </c>
      <c r="Q169" t="n">
        <v>0</v>
      </c>
      <c r="R169" s="2" t="inlineStr"/>
    </row>
    <row r="170" ht="15" customHeight="1">
      <c r="A170" t="inlineStr">
        <is>
          <t>A 322-2024</t>
        </is>
      </c>
      <c r="B170" s="1" t="n">
        <v>45295</v>
      </c>
      <c r="C170" s="1" t="n">
        <v>46035</v>
      </c>
      <c r="D170" t="inlineStr">
        <is>
          <t>DALARNAS LÄN</t>
        </is>
      </c>
      <c r="E170" t="inlineStr">
        <is>
          <t>GAGNEF</t>
        </is>
      </c>
      <c r="G170" t="n">
        <v>11.1</v>
      </c>
      <c r="H170" t="n">
        <v>0</v>
      </c>
      <c r="I170" t="n">
        <v>0</v>
      </c>
      <c r="J170" t="n">
        <v>0</v>
      </c>
      <c r="K170" t="n">
        <v>0</v>
      </c>
      <c r="L170" t="n">
        <v>0</v>
      </c>
      <c r="M170" t="n">
        <v>0</v>
      </c>
      <c r="N170" t="n">
        <v>0</v>
      </c>
      <c r="O170" t="n">
        <v>0</v>
      </c>
      <c r="P170" t="n">
        <v>0</v>
      </c>
      <c r="Q170" t="n">
        <v>0</v>
      </c>
      <c r="R170" s="2" t="inlineStr"/>
    </row>
    <row r="171" ht="15" customHeight="1">
      <c r="A171" t="inlineStr">
        <is>
          <t>A 7601-2024</t>
        </is>
      </c>
      <c r="B171" s="1" t="n">
        <v>45348.55956018518</v>
      </c>
      <c r="C171" s="1" t="n">
        <v>46035</v>
      </c>
      <c r="D171" t="inlineStr">
        <is>
          <t>DALARNAS LÄN</t>
        </is>
      </c>
      <c r="E171" t="inlineStr">
        <is>
          <t>GAGNEF</t>
        </is>
      </c>
      <c r="G171" t="n">
        <v>2</v>
      </c>
      <c r="H171" t="n">
        <v>0</v>
      </c>
      <c r="I171" t="n">
        <v>0</v>
      </c>
      <c r="J171" t="n">
        <v>0</v>
      </c>
      <c r="K171" t="n">
        <v>0</v>
      </c>
      <c r="L171" t="n">
        <v>0</v>
      </c>
      <c r="M171" t="n">
        <v>0</v>
      </c>
      <c r="N171" t="n">
        <v>0</v>
      </c>
      <c r="O171" t="n">
        <v>0</v>
      </c>
      <c r="P171" t="n">
        <v>0</v>
      </c>
      <c r="Q171" t="n">
        <v>0</v>
      </c>
      <c r="R171" s="2" t="inlineStr"/>
    </row>
    <row r="172" ht="15" customHeight="1">
      <c r="A172" t="inlineStr">
        <is>
          <t>A 52418-2024</t>
        </is>
      </c>
      <c r="B172" s="1" t="n">
        <v>45609.46230324074</v>
      </c>
      <c r="C172" s="1" t="n">
        <v>46035</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52426-2024</t>
        </is>
      </c>
      <c r="B173" s="1" t="n">
        <v>45608</v>
      </c>
      <c r="C173" s="1" t="n">
        <v>46035</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2505-2024</t>
        </is>
      </c>
      <c r="B174" s="1" t="n">
        <v>45313</v>
      </c>
      <c r="C174" s="1" t="n">
        <v>46035</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59893-2021</t>
        </is>
      </c>
      <c r="B175" s="1" t="n">
        <v>44494</v>
      </c>
      <c r="C175" s="1" t="n">
        <v>46035</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33050-2025</t>
        </is>
      </c>
      <c r="B176" s="1" t="n">
        <v>45840</v>
      </c>
      <c r="C176" s="1" t="n">
        <v>46035</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16118-2023</t>
        </is>
      </c>
      <c r="B177" s="1" t="n">
        <v>45027</v>
      </c>
      <c r="C177" s="1" t="n">
        <v>46035</v>
      </c>
      <c r="D177" t="inlineStr">
        <is>
          <t>DALARNAS LÄN</t>
        </is>
      </c>
      <c r="E177" t="inlineStr">
        <is>
          <t>GAGNEF</t>
        </is>
      </c>
      <c r="G177" t="n">
        <v>2.3</v>
      </c>
      <c r="H177" t="n">
        <v>0</v>
      </c>
      <c r="I177" t="n">
        <v>0</v>
      </c>
      <c r="J177" t="n">
        <v>0</v>
      </c>
      <c r="K177" t="n">
        <v>0</v>
      </c>
      <c r="L177" t="n">
        <v>0</v>
      </c>
      <c r="M177" t="n">
        <v>0</v>
      </c>
      <c r="N177" t="n">
        <v>0</v>
      </c>
      <c r="O177" t="n">
        <v>0</v>
      </c>
      <c r="P177" t="n">
        <v>0</v>
      </c>
      <c r="Q177" t="n">
        <v>0</v>
      </c>
      <c r="R177" s="2" t="inlineStr"/>
    </row>
    <row r="178" ht="15" customHeight="1">
      <c r="A178" t="inlineStr">
        <is>
          <t>A 33102-2025</t>
        </is>
      </c>
      <c r="B178" s="1" t="n">
        <v>45840</v>
      </c>
      <c r="C178" s="1" t="n">
        <v>46035</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50536-2024</t>
        </is>
      </c>
      <c r="B179" s="1" t="n">
        <v>45601.56956018518</v>
      </c>
      <c r="C179" s="1" t="n">
        <v>46035</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60308-2024</t>
        </is>
      </c>
      <c r="B180" s="1" t="n">
        <v>45643.34236111111</v>
      </c>
      <c r="C180" s="1" t="n">
        <v>46035</v>
      </c>
      <c r="D180" t="inlineStr">
        <is>
          <t>DALARNAS LÄN</t>
        </is>
      </c>
      <c r="E180" t="inlineStr">
        <is>
          <t>GAGNEF</t>
        </is>
      </c>
      <c r="G180" t="n">
        <v>2.7</v>
      </c>
      <c r="H180" t="n">
        <v>0</v>
      </c>
      <c r="I180" t="n">
        <v>0</v>
      </c>
      <c r="J180" t="n">
        <v>0</v>
      </c>
      <c r="K180" t="n">
        <v>0</v>
      </c>
      <c r="L180" t="n">
        <v>0</v>
      </c>
      <c r="M180" t="n">
        <v>0</v>
      </c>
      <c r="N180" t="n">
        <v>0</v>
      </c>
      <c r="O180" t="n">
        <v>0</v>
      </c>
      <c r="P180" t="n">
        <v>0</v>
      </c>
      <c r="Q180" t="n">
        <v>0</v>
      </c>
      <c r="R180" s="2" t="inlineStr"/>
    </row>
    <row r="181" ht="15" customHeight="1">
      <c r="A181" t="inlineStr">
        <is>
          <t>A 34421-2025</t>
        </is>
      </c>
      <c r="B181" s="1" t="n">
        <v>45846.66545138889</v>
      </c>
      <c r="C181" s="1" t="n">
        <v>46035</v>
      </c>
      <c r="D181" t="inlineStr">
        <is>
          <t>DALARNAS LÄN</t>
        </is>
      </c>
      <c r="E181" t="inlineStr">
        <is>
          <t>GAGNEF</t>
        </is>
      </c>
      <c r="G181" t="n">
        <v>2.6</v>
      </c>
      <c r="H181" t="n">
        <v>0</v>
      </c>
      <c r="I181" t="n">
        <v>0</v>
      </c>
      <c r="J181" t="n">
        <v>0</v>
      </c>
      <c r="K181" t="n">
        <v>0</v>
      </c>
      <c r="L181" t="n">
        <v>0</v>
      </c>
      <c r="M181" t="n">
        <v>0</v>
      </c>
      <c r="N181" t="n">
        <v>0</v>
      </c>
      <c r="O181" t="n">
        <v>0</v>
      </c>
      <c r="P181" t="n">
        <v>0</v>
      </c>
      <c r="Q181" t="n">
        <v>0</v>
      </c>
      <c r="R181" s="2" t="inlineStr"/>
    </row>
    <row r="182" ht="15" customHeight="1">
      <c r="A182" t="inlineStr">
        <is>
          <t>A 34313-2025</t>
        </is>
      </c>
      <c r="B182" s="1" t="n">
        <v>45846.39778935185</v>
      </c>
      <c r="C182" s="1" t="n">
        <v>46035</v>
      </c>
      <c r="D182" t="inlineStr">
        <is>
          <t>DALARNAS LÄN</t>
        </is>
      </c>
      <c r="E182" t="inlineStr">
        <is>
          <t>GAGNEF</t>
        </is>
      </c>
      <c r="G182" t="n">
        <v>3.1</v>
      </c>
      <c r="H182" t="n">
        <v>0</v>
      </c>
      <c r="I182" t="n">
        <v>0</v>
      </c>
      <c r="J182" t="n">
        <v>0</v>
      </c>
      <c r="K182" t="n">
        <v>0</v>
      </c>
      <c r="L182" t="n">
        <v>0</v>
      </c>
      <c r="M182" t="n">
        <v>0</v>
      </c>
      <c r="N182" t="n">
        <v>0</v>
      </c>
      <c r="O182" t="n">
        <v>0</v>
      </c>
      <c r="P182" t="n">
        <v>0</v>
      </c>
      <c r="Q182" t="n">
        <v>0</v>
      </c>
      <c r="R182" s="2" t="inlineStr"/>
    </row>
    <row r="183" ht="15" customHeight="1">
      <c r="A183" t="inlineStr">
        <is>
          <t>A 34288-2025</t>
        </is>
      </c>
      <c r="B183" s="1" t="n">
        <v>45846.33273148148</v>
      </c>
      <c r="C183" s="1" t="n">
        <v>46035</v>
      </c>
      <c r="D183" t="inlineStr">
        <is>
          <t>DALARNAS LÄN</t>
        </is>
      </c>
      <c r="E183" t="inlineStr">
        <is>
          <t>GAGNEF</t>
        </is>
      </c>
      <c r="G183" t="n">
        <v>1.3</v>
      </c>
      <c r="H183" t="n">
        <v>0</v>
      </c>
      <c r="I183" t="n">
        <v>0</v>
      </c>
      <c r="J183" t="n">
        <v>0</v>
      </c>
      <c r="K183" t="n">
        <v>0</v>
      </c>
      <c r="L183" t="n">
        <v>0</v>
      </c>
      <c r="M183" t="n">
        <v>0</v>
      </c>
      <c r="N183" t="n">
        <v>0</v>
      </c>
      <c r="O183" t="n">
        <v>0</v>
      </c>
      <c r="P183" t="n">
        <v>0</v>
      </c>
      <c r="Q183" t="n">
        <v>0</v>
      </c>
      <c r="R183" s="2" t="inlineStr"/>
    </row>
    <row r="184" ht="15" customHeight="1">
      <c r="A184" t="inlineStr">
        <is>
          <t>A 34424-2025</t>
        </is>
      </c>
      <c r="B184" s="1" t="n">
        <v>45846.66884259259</v>
      </c>
      <c r="C184" s="1" t="n">
        <v>46035</v>
      </c>
      <c r="D184" t="inlineStr">
        <is>
          <t>DALARNAS LÄN</t>
        </is>
      </c>
      <c r="E184" t="inlineStr">
        <is>
          <t>GAGNEF</t>
        </is>
      </c>
      <c r="G184" t="n">
        <v>3.2</v>
      </c>
      <c r="H184" t="n">
        <v>0</v>
      </c>
      <c r="I184" t="n">
        <v>0</v>
      </c>
      <c r="J184" t="n">
        <v>0</v>
      </c>
      <c r="K184" t="n">
        <v>0</v>
      </c>
      <c r="L184" t="n">
        <v>0</v>
      </c>
      <c r="M184" t="n">
        <v>0</v>
      </c>
      <c r="N184" t="n">
        <v>0</v>
      </c>
      <c r="O184" t="n">
        <v>0</v>
      </c>
      <c r="P184" t="n">
        <v>0</v>
      </c>
      <c r="Q184" t="n">
        <v>0</v>
      </c>
      <c r="R184" s="2" t="inlineStr"/>
    </row>
    <row r="185" ht="15" customHeight="1">
      <c r="A185" t="inlineStr">
        <is>
          <t>A 34436-2025</t>
        </is>
      </c>
      <c r="B185" s="1" t="n">
        <v>45846.68407407407</v>
      </c>
      <c r="C185" s="1" t="n">
        <v>46035</v>
      </c>
      <c r="D185" t="inlineStr">
        <is>
          <t>DALARNAS LÄN</t>
        </is>
      </c>
      <c r="E185" t="inlineStr">
        <is>
          <t>GAGNEF</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34429-2025</t>
        </is>
      </c>
      <c r="B186" s="1" t="n">
        <v>45846.67357638889</v>
      </c>
      <c r="C186" s="1" t="n">
        <v>46035</v>
      </c>
      <c r="D186" t="inlineStr">
        <is>
          <t>DALARNAS LÄN</t>
        </is>
      </c>
      <c r="E186" t="inlineStr">
        <is>
          <t>GAGNEF</t>
        </is>
      </c>
      <c r="G186" t="n">
        <v>2.3</v>
      </c>
      <c r="H186" t="n">
        <v>0</v>
      </c>
      <c r="I186" t="n">
        <v>0</v>
      </c>
      <c r="J186" t="n">
        <v>0</v>
      </c>
      <c r="K186" t="n">
        <v>0</v>
      </c>
      <c r="L186" t="n">
        <v>0</v>
      </c>
      <c r="M186" t="n">
        <v>0</v>
      </c>
      <c r="N186" t="n">
        <v>0</v>
      </c>
      <c r="O186" t="n">
        <v>0</v>
      </c>
      <c r="P186" t="n">
        <v>0</v>
      </c>
      <c r="Q186" t="n">
        <v>0</v>
      </c>
      <c r="R186" s="2" t="inlineStr"/>
    </row>
    <row r="187" ht="15" customHeight="1">
      <c r="A187" t="inlineStr">
        <is>
          <t>A 34084-2025</t>
        </is>
      </c>
      <c r="B187" s="1" t="n">
        <v>45845</v>
      </c>
      <c r="C187" s="1" t="n">
        <v>46035</v>
      </c>
      <c r="D187" t="inlineStr">
        <is>
          <t>DALARNAS LÄN</t>
        </is>
      </c>
      <c r="E187" t="inlineStr">
        <is>
          <t>GAGNEF</t>
        </is>
      </c>
      <c r="G187" t="n">
        <v>1.9</v>
      </c>
      <c r="H187" t="n">
        <v>0</v>
      </c>
      <c r="I187" t="n">
        <v>0</v>
      </c>
      <c r="J187" t="n">
        <v>0</v>
      </c>
      <c r="K187" t="n">
        <v>0</v>
      </c>
      <c r="L187" t="n">
        <v>0</v>
      </c>
      <c r="M187" t="n">
        <v>0</v>
      </c>
      <c r="N187" t="n">
        <v>0</v>
      </c>
      <c r="O187" t="n">
        <v>0</v>
      </c>
      <c r="P187" t="n">
        <v>0</v>
      </c>
      <c r="Q187" t="n">
        <v>0</v>
      </c>
      <c r="R187" s="2" t="inlineStr"/>
    </row>
    <row r="188" ht="15" customHeight="1">
      <c r="A188" t="inlineStr">
        <is>
          <t>A 34793-2025</t>
        </is>
      </c>
      <c r="B188" s="1" t="n">
        <v>45848.73045138889</v>
      </c>
      <c r="C188" s="1" t="n">
        <v>46035</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20482-2024</t>
        </is>
      </c>
      <c r="B189" s="1" t="n">
        <v>45435.72424768518</v>
      </c>
      <c r="C189" s="1" t="n">
        <v>46035</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21456-2021</t>
        </is>
      </c>
      <c r="B190" s="1" t="n">
        <v>44321</v>
      </c>
      <c r="C190" s="1" t="n">
        <v>46035</v>
      </c>
      <c r="D190" t="inlineStr">
        <is>
          <t>DALARNAS LÄN</t>
        </is>
      </c>
      <c r="E190" t="inlineStr">
        <is>
          <t>GAGNEF</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30668-2024</t>
        </is>
      </c>
      <c r="B191" s="1" t="n">
        <v>45495.71056712963</v>
      </c>
      <c r="C191" s="1" t="n">
        <v>46035</v>
      </c>
      <c r="D191" t="inlineStr">
        <is>
          <t>DALARNAS LÄN</t>
        </is>
      </c>
      <c r="E191" t="inlineStr">
        <is>
          <t>GAGNEF</t>
        </is>
      </c>
      <c r="G191" t="n">
        <v>2</v>
      </c>
      <c r="H191" t="n">
        <v>0</v>
      </c>
      <c r="I191" t="n">
        <v>0</v>
      </c>
      <c r="J191" t="n">
        <v>0</v>
      </c>
      <c r="K191" t="n">
        <v>0</v>
      </c>
      <c r="L191" t="n">
        <v>0</v>
      </c>
      <c r="M191" t="n">
        <v>0</v>
      </c>
      <c r="N191" t="n">
        <v>0</v>
      </c>
      <c r="O191" t="n">
        <v>0</v>
      </c>
      <c r="P191" t="n">
        <v>0</v>
      </c>
      <c r="Q191" t="n">
        <v>0</v>
      </c>
      <c r="R191" s="2" t="inlineStr"/>
    </row>
    <row r="192" ht="15" customHeight="1">
      <c r="A192" t="inlineStr">
        <is>
          <t>A 34943-2025</t>
        </is>
      </c>
      <c r="B192" s="1" t="n">
        <v>45849</v>
      </c>
      <c r="C192" s="1" t="n">
        <v>46035</v>
      </c>
      <c r="D192" t="inlineStr">
        <is>
          <t>DALARNAS LÄN</t>
        </is>
      </c>
      <c r="E192" t="inlineStr">
        <is>
          <t>GAGNEF</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60572-2025</t>
        </is>
      </c>
      <c r="B193" s="1" t="n">
        <v>45995.94155092593</v>
      </c>
      <c r="C193" s="1" t="n">
        <v>46035</v>
      </c>
      <c r="D193" t="inlineStr">
        <is>
          <t>DALARNAS LÄN</t>
        </is>
      </c>
      <c r="E193" t="inlineStr">
        <is>
          <t>GAGNEF</t>
        </is>
      </c>
      <c r="G193" t="n">
        <v>2.3</v>
      </c>
      <c r="H193" t="n">
        <v>0</v>
      </c>
      <c r="I193" t="n">
        <v>0</v>
      </c>
      <c r="J193" t="n">
        <v>0</v>
      </c>
      <c r="K193" t="n">
        <v>0</v>
      </c>
      <c r="L193" t="n">
        <v>0</v>
      </c>
      <c r="M193" t="n">
        <v>0</v>
      </c>
      <c r="N193" t="n">
        <v>0</v>
      </c>
      <c r="O193" t="n">
        <v>0</v>
      </c>
      <c r="P193" t="n">
        <v>0</v>
      </c>
      <c r="Q193" t="n">
        <v>0</v>
      </c>
      <c r="R193" s="2" t="inlineStr"/>
    </row>
    <row r="194" ht="15" customHeight="1">
      <c r="A194" t="inlineStr">
        <is>
          <t>A 52425-2025</t>
        </is>
      </c>
      <c r="B194" s="1" t="n">
        <v>45954.3783912037</v>
      </c>
      <c r="C194" s="1" t="n">
        <v>46035</v>
      </c>
      <c r="D194" t="inlineStr">
        <is>
          <t>DALARNAS LÄN</t>
        </is>
      </c>
      <c r="E194" t="inlineStr">
        <is>
          <t>GAGNEF</t>
        </is>
      </c>
      <c r="G194" t="n">
        <v>7.5</v>
      </c>
      <c r="H194" t="n">
        <v>0</v>
      </c>
      <c r="I194" t="n">
        <v>0</v>
      </c>
      <c r="J194" t="n">
        <v>0</v>
      </c>
      <c r="K194" t="n">
        <v>0</v>
      </c>
      <c r="L194" t="n">
        <v>0</v>
      </c>
      <c r="M194" t="n">
        <v>0</v>
      </c>
      <c r="N194" t="n">
        <v>0</v>
      </c>
      <c r="O194" t="n">
        <v>0</v>
      </c>
      <c r="P194" t="n">
        <v>0</v>
      </c>
      <c r="Q194" t="n">
        <v>0</v>
      </c>
      <c r="R194" s="2" t="inlineStr"/>
    </row>
    <row r="195" ht="15" customHeight="1">
      <c r="A195" t="inlineStr">
        <is>
          <t>A 60885-2024</t>
        </is>
      </c>
      <c r="B195" s="1" t="n">
        <v>45644</v>
      </c>
      <c r="C195" s="1" t="n">
        <v>46035</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10744-2022</t>
        </is>
      </c>
      <c r="B196" s="1" t="n">
        <v>44627</v>
      </c>
      <c r="C196" s="1" t="n">
        <v>46035</v>
      </c>
      <c r="D196" t="inlineStr">
        <is>
          <t>DALARNAS LÄN</t>
        </is>
      </c>
      <c r="E196" t="inlineStr">
        <is>
          <t>GAGNEF</t>
        </is>
      </c>
      <c r="G196" t="n">
        <v>5.8</v>
      </c>
      <c r="H196" t="n">
        <v>0</v>
      </c>
      <c r="I196" t="n">
        <v>0</v>
      </c>
      <c r="J196" t="n">
        <v>0</v>
      </c>
      <c r="K196" t="n">
        <v>0</v>
      </c>
      <c r="L196" t="n">
        <v>0</v>
      </c>
      <c r="M196" t="n">
        <v>0</v>
      </c>
      <c r="N196" t="n">
        <v>0</v>
      </c>
      <c r="O196" t="n">
        <v>0</v>
      </c>
      <c r="P196" t="n">
        <v>0</v>
      </c>
      <c r="Q196" t="n">
        <v>0</v>
      </c>
      <c r="R196" s="2" t="inlineStr"/>
    </row>
    <row r="197" ht="15" customHeight="1">
      <c r="A197" t="inlineStr">
        <is>
          <t>A 36244-2025</t>
        </is>
      </c>
      <c r="B197" s="1" t="n">
        <v>45867.55569444445</v>
      </c>
      <c r="C197" s="1" t="n">
        <v>46035</v>
      </c>
      <c r="D197" t="inlineStr">
        <is>
          <t>DALARNAS LÄN</t>
        </is>
      </c>
      <c r="E197" t="inlineStr">
        <is>
          <t>GAGNEF</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36232-2025</t>
        </is>
      </c>
      <c r="B198" s="1" t="n">
        <v>45867.54686342592</v>
      </c>
      <c r="C198" s="1" t="n">
        <v>46035</v>
      </c>
      <c r="D198" t="inlineStr">
        <is>
          <t>DALARNAS LÄN</t>
        </is>
      </c>
      <c r="E198" t="inlineStr">
        <is>
          <t>GAGNEF</t>
        </is>
      </c>
      <c r="G198" t="n">
        <v>3.9</v>
      </c>
      <c r="H198" t="n">
        <v>0</v>
      </c>
      <c r="I198" t="n">
        <v>0</v>
      </c>
      <c r="J198" t="n">
        <v>0</v>
      </c>
      <c r="K198" t="n">
        <v>0</v>
      </c>
      <c r="L198" t="n">
        <v>0</v>
      </c>
      <c r="M198" t="n">
        <v>0</v>
      </c>
      <c r="N198" t="n">
        <v>0</v>
      </c>
      <c r="O198" t="n">
        <v>0</v>
      </c>
      <c r="P198" t="n">
        <v>0</v>
      </c>
      <c r="Q198" t="n">
        <v>0</v>
      </c>
      <c r="R198" s="2" t="inlineStr"/>
    </row>
    <row r="199" ht="15" customHeight="1">
      <c r="A199" t="inlineStr">
        <is>
          <t>A 52136-2025</t>
        </is>
      </c>
      <c r="B199" s="1" t="n">
        <v>45952.86512731481</v>
      </c>
      <c r="C199" s="1" t="n">
        <v>46035</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36510-2025</t>
        </is>
      </c>
      <c r="B200" s="1" t="n">
        <v>45869</v>
      </c>
      <c r="C200" s="1" t="n">
        <v>46035</v>
      </c>
      <c r="D200" t="inlineStr">
        <is>
          <t>DALARNAS LÄN</t>
        </is>
      </c>
      <c r="E200" t="inlineStr">
        <is>
          <t>GAGNEF</t>
        </is>
      </c>
      <c r="G200" t="n">
        <v>3.3</v>
      </c>
      <c r="H200" t="n">
        <v>0</v>
      </c>
      <c r="I200" t="n">
        <v>0</v>
      </c>
      <c r="J200" t="n">
        <v>0</v>
      </c>
      <c r="K200" t="n">
        <v>0</v>
      </c>
      <c r="L200" t="n">
        <v>0</v>
      </c>
      <c r="M200" t="n">
        <v>0</v>
      </c>
      <c r="N200" t="n">
        <v>0</v>
      </c>
      <c r="O200" t="n">
        <v>0</v>
      </c>
      <c r="P200" t="n">
        <v>0</v>
      </c>
      <c r="Q200" t="n">
        <v>0</v>
      </c>
      <c r="R200" s="2" t="inlineStr"/>
    </row>
    <row r="201" ht="15" customHeight="1">
      <c r="A201" t="inlineStr">
        <is>
          <t>A 42308-2021</t>
        </is>
      </c>
      <c r="B201" s="1" t="n">
        <v>44427</v>
      </c>
      <c r="C201" s="1" t="n">
        <v>46035</v>
      </c>
      <c r="D201" t="inlineStr">
        <is>
          <t>DALARNAS LÄN</t>
        </is>
      </c>
      <c r="E201" t="inlineStr">
        <is>
          <t>GAGNEF</t>
        </is>
      </c>
      <c r="F201" t="inlineStr">
        <is>
          <t>Bergvik skog väst AB</t>
        </is>
      </c>
      <c r="G201" t="n">
        <v>3.3</v>
      </c>
      <c r="H201" t="n">
        <v>0</v>
      </c>
      <c r="I201" t="n">
        <v>0</v>
      </c>
      <c r="J201" t="n">
        <v>0</v>
      </c>
      <c r="K201" t="n">
        <v>0</v>
      </c>
      <c r="L201" t="n">
        <v>0</v>
      </c>
      <c r="M201" t="n">
        <v>0</v>
      </c>
      <c r="N201" t="n">
        <v>0</v>
      </c>
      <c r="O201" t="n">
        <v>0</v>
      </c>
      <c r="P201" t="n">
        <v>0</v>
      </c>
      <c r="Q201" t="n">
        <v>0</v>
      </c>
      <c r="R201" s="2" t="inlineStr"/>
    </row>
    <row r="202" ht="15" customHeight="1">
      <c r="A202" t="inlineStr">
        <is>
          <t>A 38723-2025</t>
        </is>
      </c>
      <c r="B202" s="1" t="n">
        <v>45886</v>
      </c>
      <c r="C202" s="1" t="n">
        <v>46035</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36562-2025</t>
        </is>
      </c>
      <c r="B203" s="1" t="n">
        <v>45870</v>
      </c>
      <c r="C203" s="1" t="n">
        <v>46035</v>
      </c>
      <c r="D203" t="inlineStr">
        <is>
          <t>DALARNAS LÄN</t>
        </is>
      </c>
      <c r="E203" t="inlineStr">
        <is>
          <t>GAGNEF</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46035</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46035</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36800-2025</t>
        </is>
      </c>
      <c r="B206" s="1" t="n">
        <v>45873</v>
      </c>
      <c r="C206" s="1" t="n">
        <v>46035</v>
      </c>
      <c r="D206" t="inlineStr">
        <is>
          <t>DALARNAS LÄN</t>
        </is>
      </c>
      <c r="E206" t="inlineStr">
        <is>
          <t>GAGNEF</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36802-2025</t>
        </is>
      </c>
      <c r="B207" s="1" t="n">
        <v>45873.67197916667</v>
      </c>
      <c r="C207" s="1" t="n">
        <v>46035</v>
      </c>
      <c r="D207" t="inlineStr">
        <is>
          <t>DALARNAS LÄN</t>
        </is>
      </c>
      <c r="E207" t="inlineStr">
        <is>
          <t>GAGNEF</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61872-2024</t>
        </is>
      </c>
      <c r="B208" s="1" t="n">
        <v>45651.86974537037</v>
      </c>
      <c r="C208" s="1" t="n">
        <v>46035</v>
      </c>
      <c r="D208" t="inlineStr">
        <is>
          <t>DALARNAS LÄN</t>
        </is>
      </c>
      <c r="E208" t="inlineStr">
        <is>
          <t>GAGNEF</t>
        </is>
      </c>
      <c r="G208" t="n">
        <v>6.7</v>
      </c>
      <c r="H208" t="n">
        <v>0</v>
      </c>
      <c r="I208" t="n">
        <v>0</v>
      </c>
      <c r="J208" t="n">
        <v>0</v>
      </c>
      <c r="K208" t="n">
        <v>0</v>
      </c>
      <c r="L208" t="n">
        <v>0</v>
      </c>
      <c r="M208" t="n">
        <v>0</v>
      </c>
      <c r="N208" t="n">
        <v>0</v>
      </c>
      <c r="O208" t="n">
        <v>0</v>
      </c>
      <c r="P208" t="n">
        <v>0</v>
      </c>
      <c r="Q208" t="n">
        <v>0</v>
      </c>
      <c r="R208" s="2" t="inlineStr"/>
    </row>
    <row r="209" ht="15" customHeight="1">
      <c r="A209" t="inlineStr">
        <is>
          <t>A 5347-2025</t>
        </is>
      </c>
      <c r="B209" s="1" t="n">
        <v>45692.55440972222</v>
      </c>
      <c r="C209" s="1" t="n">
        <v>46035</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41365-2023</t>
        </is>
      </c>
      <c r="B210" s="1" t="n">
        <v>45174.84201388889</v>
      </c>
      <c r="C210" s="1" t="n">
        <v>46035</v>
      </c>
      <c r="D210" t="inlineStr">
        <is>
          <t>DALARNAS LÄN</t>
        </is>
      </c>
      <c r="E210" t="inlineStr">
        <is>
          <t>GAGNEF</t>
        </is>
      </c>
      <c r="G210" t="n">
        <v>0.8</v>
      </c>
      <c r="H210" t="n">
        <v>0</v>
      </c>
      <c r="I210" t="n">
        <v>0</v>
      </c>
      <c r="J210" t="n">
        <v>0</v>
      </c>
      <c r="K210" t="n">
        <v>0</v>
      </c>
      <c r="L210" t="n">
        <v>0</v>
      </c>
      <c r="M210" t="n">
        <v>0</v>
      </c>
      <c r="N210" t="n">
        <v>0</v>
      </c>
      <c r="O210" t="n">
        <v>0</v>
      </c>
      <c r="P210" t="n">
        <v>0</v>
      </c>
      <c r="Q210" t="n">
        <v>0</v>
      </c>
      <c r="R210" s="2" t="inlineStr"/>
    </row>
    <row r="211" ht="15" customHeight="1">
      <c r="A211" t="inlineStr">
        <is>
          <t>A 30957-2023</t>
        </is>
      </c>
      <c r="B211" s="1" t="n">
        <v>45113</v>
      </c>
      <c r="C211" s="1" t="n">
        <v>46035</v>
      </c>
      <c r="D211" t="inlineStr">
        <is>
          <t>DALARNAS LÄN</t>
        </is>
      </c>
      <c r="E211" t="inlineStr">
        <is>
          <t>GAGNEF</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52159-2023</t>
        </is>
      </c>
      <c r="B212" s="1" t="n">
        <v>45224</v>
      </c>
      <c r="C212" s="1" t="n">
        <v>46035</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337-2025</t>
        </is>
      </c>
      <c r="B213" s="1" t="n">
        <v>45660.68168981482</v>
      </c>
      <c r="C213" s="1" t="n">
        <v>46035</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5859-2025</t>
        </is>
      </c>
      <c r="B214" s="1" t="n">
        <v>45695.34581018519</v>
      </c>
      <c r="C214" s="1" t="n">
        <v>46035</v>
      </c>
      <c r="D214" t="inlineStr">
        <is>
          <t>DALARNAS LÄN</t>
        </is>
      </c>
      <c r="E214" t="inlineStr">
        <is>
          <t>GAGNEF</t>
        </is>
      </c>
      <c r="G214" t="n">
        <v>0.5</v>
      </c>
      <c r="H214" t="n">
        <v>0</v>
      </c>
      <c r="I214" t="n">
        <v>0</v>
      </c>
      <c r="J214" t="n">
        <v>0</v>
      </c>
      <c r="K214" t="n">
        <v>0</v>
      </c>
      <c r="L214" t="n">
        <v>0</v>
      </c>
      <c r="M214" t="n">
        <v>0</v>
      </c>
      <c r="N214" t="n">
        <v>0</v>
      </c>
      <c r="O214" t="n">
        <v>0</v>
      </c>
      <c r="P214" t="n">
        <v>0</v>
      </c>
      <c r="Q214" t="n">
        <v>0</v>
      </c>
      <c r="R214" s="2" t="inlineStr"/>
    </row>
    <row r="215" ht="15" customHeight="1">
      <c r="A215" t="inlineStr">
        <is>
          <t>A 3816-2025</t>
        </is>
      </c>
      <c r="B215" s="1" t="n">
        <v>45681.69211805556</v>
      </c>
      <c r="C215" s="1" t="n">
        <v>46035</v>
      </c>
      <c r="D215" t="inlineStr">
        <is>
          <t>DALARNAS LÄN</t>
        </is>
      </c>
      <c r="E215" t="inlineStr">
        <is>
          <t>GAGNEF</t>
        </is>
      </c>
      <c r="G215" t="n">
        <v>6.1</v>
      </c>
      <c r="H215" t="n">
        <v>0</v>
      </c>
      <c r="I215" t="n">
        <v>0</v>
      </c>
      <c r="J215" t="n">
        <v>0</v>
      </c>
      <c r="K215" t="n">
        <v>0</v>
      </c>
      <c r="L215" t="n">
        <v>0</v>
      </c>
      <c r="M215" t="n">
        <v>0</v>
      </c>
      <c r="N215" t="n">
        <v>0</v>
      </c>
      <c r="O215" t="n">
        <v>0</v>
      </c>
      <c r="P215" t="n">
        <v>0</v>
      </c>
      <c r="Q215" t="n">
        <v>0</v>
      </c>
      <c r="R215" s="2" t="inlineStr"/>
    </row>
    <row r="216" ht="15" customHeight="1">
      <c r="A216" t="inlineStr">
        <is>
          <t>A 11285-2025</t>
        </is>
      </c>
      <c r="B216" s="1" t="n">
        <v>45726.42420138889</v>
      </c>
      <c r="C216" s="1" t="n">
        <v>46035</v>
      </c>
      <c r="D216" t="inlineStr">
        <is>
          <t>DALARNAS LÄN</t>
        </is>
      </c>
      <c r="E216" t="inlineStr">
        <is>
          <t>GAGNEF</t>
        </is>
      </c>
      <c r="G216" t="n">
        <v>12.2</v>
      </c>
      <c r="H216" t="n">
        <v>0</v>
      </c>
      <c r="I216" t="n">
        <v>0</v>
      </c>
      <c r="J216" t="n">
        <v>0</v>
      </c>
      <c r="K216" t="n">
        <v>0</v>
      </c>
      <c r="L216" t="n">
        <v>0</v>
      </c>
      <c r="M216" t="n">
        <v>0</v>
      </c>
      <c r="N216" t="n">
        <v>0</v>
      </c>
      <c r="O216" t="n">
        <v>0</v>
      </c>
      <c r="P216" t="n">
        <v>0</v>
      </c>
      <c r="Q216" t="n">
        <v>0</v>
      </c>
      <c r="R216" s="2" t="inlineStr"/>
    </row>
    <row r="217" ht="15" customHeight="1">
      <c r="A217" t="inlineStr">
        <is>
          <t>A 63203-2023</t>
        </is>
      </c>
      <c r="B217" s="1" t="n">
        <v>45273.60798611111</v>
      </c>
      <c r="C217" s="1" t="n">
        <v>46035</v>
      </c>
      <c r="D217" t="inlineStr">
        <is>
          <t>DALARNAS LÄN</t>
        </is>
      </c>
      <c r="E217" t="inlineStr">
        <is>
          <t>GAGNEF</t>
        </is>
      </c>
      <c r="G217" t="n">
        <v>3.2</v>
      </c>
      <c r="H217" t="n">
        <v>0</v>
      </c>
      <c r="I217" t="n">
        <v>0</v>
      </c>
      <c r="J217" t="n">
        <v>0</v>
      </c>
      <c r="K217" t="n">
        <v>0</v>
      </c>
      <c r="L217" t="n">
        <v>0</v>
      </c>
      <c r="M217" t="n">
        <v>0</v>
      </c>
      <c r="N217" t="n">
        <v>0</v>
      </c>
      <c r="O217" t="n">
        <v>0</v>
      </c>
      <c r="P217" t="n">
        <v>0</v>
      </c>
      <c r="Q217" t="n">
        <v>0</v>
      </c>
      <c r="R217" s="2" t="inlineStr"/>
    </row>
    <row r="218" ht="15" customHeight="1">
      <c r="A218" t="inlineStr">
        <is>
          <t>A 16858-2025</t>
        </is>
      </c>
      <c r="B218" s="1" t="n">
        <v>45751</v>
      </c>
      <c r="C218" s="1" t="n">
        <v>46035</v>
      </c>
      <c r="D218" t="inlineStr">
        <is>
          <t>DALARNAS LÄN</t>
        </is>
      </c>
      <c r="E218" t="inlineStr">
        <is>
          <t>GAGNEF</t>
        </is>
      </c>
      <c r="G218" t="n">
        <v>0.5</v>
      </c>
      <c r="H218" t="n">
        <v>0</v>
      </c>
      <c r="I218" t="n">
        <v>0</v>
      </c>
      <c r="J218" t="n">
        <v>0</v>
      </c>
      <c r="K218" t="n">
        <v>0</v>
      </c>
      <c r="L218" t="n">
        <v>0</v>
      </c>
      <c r="M218" t="n">
        <v>0</v>
      </c>
      <c r="N218" t="n">
        <v>0</v>
      </c>
      <c r="O218" t="n">
        <v>0</v>
      </c>
      <c r="P218" t="n">
        <v>0</v>
      </c>
      <c r="Q218" t="n">
        <v>0</v>
      </c>
      <c r="R218" s="2" t="inlineStr"/>
    </row>
    <row r="219" ht="15" customHeight="1">
      <c r="A219" t="inlineStr">
        <is>
          <t>A 3818-2025</t>
        </is>
      </c>
      <c r="B219" s="1" t="n">
        <v>45681.70396990741</v>
      </c>
      <c r="C219" s="1" t="n">
        <v>46035</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3819-2025</t>
        </is>
      </c>
      <c r="B220" s="1" t="n">
        <v>45681.7072337963</v>
      </c>
      <c r="C220" s="1" t="n">
        <v>46035</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19337-2025</t>
        </is>
      </c>
      <c r="B221" s="1" t="n">
        <v>45769.59185185185</v>
      </c>
      <c r="C221" s="1" t="n">
        <v>46035</v>
      </c>
      <c r="D221" t="inlineStr">
        <is>
          <t>DALARNAS LÄN</t>
        </is>
      </c>
      <c r="E221" t="inlineStr">
        <is>
          <t>GAGNEF</t>
        </is>
      </c>
      <c r="G221" t="n">
        <v>13.8</v>
      </c>
      <c r="H221" t="n">
        <v>0</v>
      </c>
      <c r="I221" t="n">
        <v>0</v>
      </c>
      <c r="J221" t="n">
        <v>0</v>
      </c>
      <c r="K221" t="n">
        <v>0</v>
      </c>
      <c r="L221" t="n">
        <v>0</v>
      </c>
      <c r="M221" t="n">
        <v>0</v>
      </c>
      <c r="N221" t="n">
        <v>0</v>
      </c>
      <c r="O221" t="n">
        <v>0</v>
      </c>
      <c r="P221" t="n">
        <v>0</v>
      </c>
      <c r="Q221" t="n">
        <v>0</v>
      </c>
      <c r="R221" s="2" t="inlineStr"/>
    </row>
    <row r="222" ht="15" customHeight="1">
      <c r="A222" t="inlineStr">
        <is>
          <t>A 41366-2023</t>
        </is>
      </c>
      <c r="B222" s="1" t="n">
        <v>45174.84822916667</v>
      </c>
      <c r="C222" s="1" t="n">
        <v>46035</v>
      </c>
      <c r="D222" t="inlineStr">
        <is>
          <t>DALARNAS LÄN</t>
        </is>
      </c>
      <c r="E222" t="inlineStr">
        <is>
          <t>GAGNEF</t>
        </is>
      </c>
      <c r="G222" t="n">
        <v>1.7</v>
      </c>
      <c r="H222" t="n">
        <v>0</v>
      </c>
      <c r="I222" t="n">
        <v>0</v>
      </c>
      <c r="J222" t="n">
        <v>0</v>
      </c>
      <c r="K222" t="n">
        <v>0</v>
      </c>
      <c r="L222" t="n">
        <v>0</v>
      </c>
      <c r="M222" t="n">
        <v>0</v>
      </c>
      <c r="N222" t="n">
        <v>0</v>
      </c>
      <c r="O222" t="n">
        <v>0</v>
      </c>
      <c r="P222" t="n">
        <v>0</v>
      </c>
      <c r="Q222" t="n">
        <v>0</v>
      </c>
      <c r="R222" s="2" t="inlineStr"/>
    </row>
    <row r="223" ht="15" customHeight="1">
      <c r="A223" t="inlineStr">
        <is>
          <t>A 53917-2025</t>
        </is>
      </c>
      <c r="B223" s="1" t="n">
        <v>45961</v>
      </c>
      <c r="C223" s="1" t="n">
        <v>46035</v>
      </c>
      <c r="D223" t="inlineStr">
        <is>
          <t>DALARNAS LÄN</t>
        </is>
      </c>
      <c r="E223" t="inlineStr">
        <is>
          <t>GAGNEF</t>
        </is>
      </c>
      <c r="F223" t="inlineStr">
        <is>
          <t>Kommuner</t>
        </is>
      </c>
      <c r="G223" t="n">
        <v>1.8</v>
      </c>
      <c r="H223" t="n">
        <v>0</v>
      </c>
      <c r="I223" t="n">
        <v>0</v>
      </c>
      <c r="J223" t="n">
        <v>0</v>
      </c>
      <c r="K223" t="n">
        <v>0</v>
      </c>
      <c r="L223" t="n">
        <v>0</v>
      </c>
      <c r="M223" t="n">
        <v>0</v>
      </c>
      <c r="N223" t="n">
        <v>0</v>
      </c>
      <c r="O223" t="n">
        <v>0</v>
      </c>
      <c r="P223" t="n">
        <v>0</v>
      </c>
      <c r="Q223" t="n">
        <v>0</v>
      </c>
      <c r="R223" s="2" t="inlineStr"/>
    </row>
    <row r="224" ht="15" customHeight="1">
      <c r="A224" t="inlineStr">
        <is>
          <t>A 44040-2024</t>
        </is>
      </c>
      <c r="B224" s="1" t="n">
        <v>45572.58497685185</v>
      </c>
      <c r="C224" s="1" t="n">
        <v>46035</v>
      </c>
      <c r="D224" t="inlineStr">
        <is>
          <t>DALARNAS LÄN</t>
        </is>
      </c>
      <c r="E224" t="inlineStr">
        <is>
          <t>GAGNEF</t>
        </is>
      </c>
      <c r="G224" t="n">
        <v>5.1</v>
      </c>
      <c r="H224" t="n">
        <v>0</v>
      </c>
      <c r="I224" t="n">
        <v>0</v>
      </c>
      <c r="J224" t="n">
        <v>0</v>
      </c>
      <c r="K224" t="n">
        <v>0</v>
      </c>
      <c r="L224" t="n">
        <v>0</v>
      </c>
      <c r="M224" t="n">
        <v>0</v>
      </c>
      <c r="N224" t="n">
        <v>0</v>
      </c>
      <c r="O224" t="n">
        <v>0</v>
      </c>
      <c r="P224" t="n">
        <v>0</v>
      </c>
      <c r="Q224" t="n">
        <v>0</v>
      </c>
      <c r="R224" s="2" t="inlineStr"/>
    </row>
    <row r="225" ht="15" customHeight="1">
      <c r="A225" t="inlineStr">
        <is>
          <t>A 54018-2025</t>
        </is>
      </c>
      <c r="B225" s="1" t="n">
        <v>45961</v>
      </c>
      <c r="C225" s="1" t="n">
        <v>46035</v>
      </c>
      <c r="D225" t="inlineStr">
        <is>
          <t>DALARNAS LÄN</t>
        </is>
      </c>
      <c r="E225" t="inlineStr">
        <is>
          <t>GAGNEF</t>
        </is>
      </c>
      <c r="G225" t="n">
        <v>5.1</v>
      </c>
      <c r="H225" t="n">
        <v>0</v>
      </c>
      <c r="I225" t="n">
        <v>0</v>
      </c>
      <c r="J225" t="n">
        <v>0</v>
      </c>
      <c r="K225" t="n">
        <v>0</v>
      </c>
      <c r="L225" t="n">
        <v>0</v>
      </c>
      <c r="M225" t="n">
        <v>0</v>
      </c>
      <c r="N225" t="n">
        <v>0</v>
      </c>
      <c r="O225" t="n">
        <v>0</v>
      </c>
      <c r="P225" t="n">
        <v>0</v>
      </c>
      <c r="Q225" t="n">
        <v>0</v>
      </c>
      <c r="R225" s="2" t="inlineStr"/>
    </row>
    <row r="226" ht="15" customHeight="1">
      <c r="A226" t="inlineStr">
        <is>
          <t>A 7340-2024</t>
        </is>
      </c>
      <c r="B226" s="1" t="n">
        <v>45345.44857638889</v>
      </c>
      <c r="C226" s="1" t="n">
        <v>46035</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54285-2025</t>
        </is>
      </c>
      <c r="B227" s="1" t="n">
        <v>45964.79503472222</v>
      </c>
      <c r="C227" s="1" t="n">
        <v>46035</v>
      </c>
      <c r="D227" t="inlineStr">
        <is>
          <t>DALARNAS LÄN</t>
        </is>
      </c>
      <c r="E227" t="inlineStr">
        <is>
          <t>GAGNEF</t>
        </is>
      </c>
      <c r="G227" t="n">
        <v>1.5</v>
      </c>
      <c r="H227" t="n">
        <v>0</v>
      </c>
      <c r="I227" t="n">
        <v>0</v>
      </c>
      <c r="J227" t="n">
        <v>0</v>
      </c>
      <c r="K227" t="n">
        <v>0</v>
      </c>
      <c r="L227" t="n">
        <v>0</v>
      </c>
      <c r="M227" t="n">
        <v>0</v>
      </c>
      <c r="N227" t="n">
        <v>0</v>
      </c>
      <c r="O227" t="n">
        <v>0</v>
      </c>
      <c r="P227" t="n">
        <v>0</v>
      </c>
      <c r="Q227" t="n">
        <v>0</v>
      </c>
      <c r="R227" s="2" t="inlineStr"/>
    </row>
    <row r="228" ht="15" customHeight="1">
      <c r="A228" t="inlineStr">
        <is>
          <t>A 19954-2025</t>
        </is>
      </c>
      <c r="B228" s="1" t="n">
        <v>45771.65960648148</v>
      </c>
      <c r="C228" s="1" t="n">
        <v>46035</v>
      </c>
      <c r="D228" t="inlineStr">
        <is>
          <t>DALARNAS LÄN</t>
        </is>
      </c>
      <c r="E228" t="inlineStr">
        <is>
          <t>GAGNEF</t>
        </is>
      </c>
      <c r="G228" t="n">
        <v>1.5</v>
      </c>
      <c r="H228" t="n">
        <v>0</v>
      </c>
      <c r="I228" t="n">
        <v>0</v>
      </c>
      <c r="J228" t="n">
        <v>0</v>
      </c>
      <c r="K228" t="n">
        <v>0</v>
      </c>
      <c r="L228" t="n">
        <v>0</v>
      </c>
      <c r="M228" t="n">
        <v>0</v>
      </c>
      <c r="N228" t="n">
        <v>0</v>
      </c>
      <c r="O228" t="n">
        <v>0</v>
      </c>
      <c r="P228" t="n">
        <v>0</v>
      </c>
      <c r="Q228" t="n">
        <v>0</v>
      </c>
      <c r="R228" s="2" t="inlineStr"/>
    </row>
    <row r="229" ht="15" customHeight="1">
      <c r="A229" t="inlineStr">
        <is>
          <t>A 54181-2025</t>
        </is>
      </c>
      <c r="B229" s="1" t="n">
        <v>45964</v>
      </c>
      <c r="C229" s="1" t="n">
        <v>46035</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54178-2025</t>
        </is>
      </c>
      <c r="B230" s="1" t="n">
        <v>45964</v>
      </c>
      <c r="C230" s="1" t="n">
        <v>46035</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63084-2025</t>
        </is>
      </c>
      <c r="B231" s="1" t="n">
        <v>46009.6719212963</v>
      </c>
      <c r="C231" s="1" t="n">
        <v>46035</v>
      </c>
      <c r="D231" t="inlineStr">
        <is>
          <t>DALARNAS LÄN</t>
        </is>
      </c>
      <c r="E231" t="inlineStr">
        <is>
          <t>GAGNEF</t>
        </is>
      </c>
      <c r="F231" t="inlineStr">
        <is>
          <t>Kyrkan</t>
        </is>
      </c>
      <c r="G231" t="n">
        <v>3.6</v>
      </c>
      <c r="H231" t="n">
        <v>0</v>
      </c>
      <c r="I231" t="n">
        <v>0</v>
      </c>
      <c r="J231" t="n">
        <v>0</v>
      </c>
      <c r="K231" t="n">
        <v>0</v>
      </c>
      <c r="L231" t="n">
        <v>0</v>
      </c>
      <c r="M231" t="n">
        <v>0</v>
      </c>
      <c r="N231" t="n">
        <v>0</v>
      </c>
      <c r="O231" t="n">
        <v>0</v>
      </c>
      <c r="P231" t="n">
        <v>0</v>
      </c>
      <c r="Q231" t="n">
        <v>0</v>
      </c>
      <c r="R231" s="2" t="inlineStr"/>
    </row>
    <row r="232" ht="15" customHeight="1">
      <c r="A232" t="inlineStr">
        <is>
          <t>A 63325-2025</t>
        </is>
      </c>
      <c r="B232" s="1" t="n">
        <v>46010.63777777777</v>
      </c>
      <c r="C232" s="1" t="n">
        <v>46035</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63184-2025</t>
        </is>
      </c>
      <c r="B233" s="1" t="n">
        <v>46010.43115740741</v>
      </c>
      <c r="C233" s="1" t="n">
        <v>46035</v>
      </c>
      <c r="D233" t="inlineStr">
        <is>
          <t>DALARNAS LÄN</t>
        </is>
      </c>
      <c r="E233" t="inlineStr">
        <is>
          <t>GAGNEF</t>
        </is>
      </c>
      <c r="G233" t="n">
        <v>4.3</v>
      </c>
      <c r="H233" t="n">
        <v>0</v>
      </c>
      <c r="I233" t="n">
        <v>0</v>
      </c>
      <c r="J233" t="n">
        <v>0</v>
      </c>
      <c r="K233" t="n">
        <v>0</v>
      </c>
      <c r="L233" t="n">
        <v>0</v>
      </c>
      <c r="M233" t="n">
        <v>0</v>
      </c>
      <c r="N233" t="n">
        <v>0</v>
      </c>
      <c r="O233" t="n">
        <v>0</v>
      </c>
      <c r="P233" t="n">
        <v>0</v>
      </c>
      <c r="Q233" t="n">
        <v>0</v>
      </c>
      <c r="R233" s="2" t="inlineStr"/>
    </row>
    <row r="234" ht="15" customHeight="1">
      <c r="A234" t="inlineStr">
        <is>
          <t>A 63707-2025</t>
        </is>
      </c>
      <c r="B234" s="1" t="n">
        <v>46014.61262731482</v>
      </c>
      <c r="C234" s="1" t="n">
        <v>46035</v>
      </c>
      <c r="D234" t="inlineStr">
        <is>
          <t>DALARNAS LÄN</t>
        </is>
      </c>
      <c r="E234" t="inlineStr">
        <is>
          <t>GAGNEF</t>
        </is>
      </c>
      <c r="G234" t="n">
        <v>6.4</v>
      </c>
      <c r="H234" t="n">
        <v>0</v>
      </c>
      <c r="I234" t="n">
        <v>0</v>
      </c>
      <c r="J234" t="n">
        <v>0</v>
      </c>
      <c r="K234" t="n">
        <v>0</v>
      </c>
      <c r="L234" t="n">
        <v>0</v>
      </c>
      <c r="M234" t="n">
        <v>0</v>
      </c>
      <c r="N234" t="n">
        <v>0</v>
      </c>
      <c r="O234" t="n">
        <v>0</v>
      </c>
      <c r="P234" t="n">
        <v>0</v>
      </c>
      <c r="Q234" t="n">
        <v>0</v>
      </c>
      <c r="R234" s="2" t="inlineStr"/>
    </row>
    <row r="235" ht="15" customHeight="1">
      <c r="A235" t="inlineStr">
        <is>
          <t>A 45706-2024</t>
        </is>
      </c>
      <c r="B235" s="1" t="n">
        <v>45579.57643518518</v>
      </c>
      <c r="C235" s="1" t="n">
        <v>46035</v>
      </c>
      <c r="D235" t="inlineStr">
        <is>
          <t>DALARNAS LÄN</t>
        </is>
      </c>
      <c r="E235" t="inlineStr">
        <is>
          <t>GAGNEF</t>
        </is>
      </c>
      <c r="G235" t="n">
        <v>0.2</v>
      </c>
      <c r="H235" t="n">
        <v>0</v>
      </c>
      <c r="I235" t="n">
        <v>0</v>
      </c>
      <c r="J235" t="n">
        <v>0</v>
      </c>
      <c r="K235" t="n">
        <v>0</v>
      </c>
      <c r="L235" t="n">
        <v>0</v>
      </c>
      <c r="M235" t="n">
        <v>0</v>
      </c>
      <c r="N235" t="n">
        <v>0</v>
      </c>
      <c r="O235" t="n">
        <v>0</v>
      </c>
      <c r="P235" t="n">
        <v>0</v>
      </c>
      <c r="Q235" t="n">
        <v>0</v>
      </c>
      <c r="R235" s="2" t="inlineStr"/>
    </row>
    <row r="236" ht="15" customHeight="1">
      <c r="A236" t="inlineStr">
        <is>
          <t>A 55801-2025</t>
        </is>
      </c>
      <c r="B236" s="1" t="n">
        <v>45972.67065972222</v>
      </c>
      <c r="C236" s="1" t="n">
        <v>46035</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41952-2024</t>
        </is>
      </c>
      <c r="B237" s="1" t="n">
        <v>45561.58697916667</v>
      </c>
      <c r="C237" s="1" t="n">
        <v>46035</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55838-2025</t>
        </is>
      </c>
      <c r="B238" s="1" t="n">
        <v>45972.89208333333</v>
      </c>
      <c r="C238" s="1" t="n">
        <v>46035</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52437-2024</t>
        </is>
      </c>
      <c r="B239" s="1" t="n">
        <v>45608</v>
      </c>
      <c r="C239" s="1" t="n">
        <v>46035</v>
      </c>
      <c r="D239" t="inlineStr">
        <is>
          <t>DALARNAS LÄN</t>
        </is>
      </c>
      <c r="E239" t="inlineStr">
        <is>
          <t>GAGNEF</t>
        </is>
      </c>
      <c r="G239" t="n">
        <v>1</v>
      </c>
      <c r="H239" t="n">
        <v>0</v>
      </c>
      <c r="I239" t="n">
        <v>0</v>
      </c>
      <c r="J239" t="n">
        <v>0</v>
      </c>
      <c r="K239" t="n">
        <v>0</v>
      </c>
      <c r="L239" t="n">
        <v>0</v>
      </c>
      <c r="M239" t="n">
        <v>0</v>
      </c>
      <c r="N239" t="n">
        <v>0</v>
      </c>
      <c r="O239" t="n">
        <v>0</v>
      </c>
      <c r="P239" t="n">
        <v>0</v>
      </c>
      <c r="Q239" t="n">
        <v>0</v>
      </c>
      <c r="R239" s="2" t="inlineStr"/>
    </row>
    <row r="240" ht="15" customHeight="1">
      <c r="A240" t="inlineStr">
        <is>
          <t>A 56461-2025</t>
        </is>
      </c>
      <c r="B240" s="1" t="n">
        <v>45975.36987268519</v>
      </c>
      <c r="C240" s="1" t="n">
        <v>46035</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28559-2024</t>
        </is>
      </c>
      <c r="B241" s="1" t="n">
        <v>45478.38052083334</v>
      </c>
      <c r="C241" s="1" t="n">
        <v>46035</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28591-2024</t>
        </is>
      </c>
      <c r="B242" s="1" t="n">
        <v>45478.41777777778</v>
      </c>
      <c r="C242" s="1" t="n">
        <v>46035</v>
      </c>
      <c r="D242" t="inlineStr">
        <is>
          <t>DALARNAS LÄN</t>
        </is>
      </c>
      <c r="E242" t="inlineStr">
        <is>
          <t>GAGNEF</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18412-2024</t>
        </is>
      </c>
      <c r="B243" s="1" t="n">
        <v>45425.37940972222</v>
      </c>
      <c r="C243" s="1" t="n">
        <v>46035</v>
      </c>
      <c r="D243" t="inlineStr">
        <is>
          <t>DALARNAS LÄN</t>
        </is>
      </c>
      <c r="E243" t="inlineStr">
        <is>
          <t>GAGNEF</t>
        </is>
      </c>
      <c r="G243" t="n">
        <v>2.9</v>
      </c>
      <c r="H243" t="n">
        <v>0</v>
      </c>
      <c r="I243" t="n">
        <v>0</v>
      </c>
      <c r="J243" t="n">
        <v>0</v>
      </c>
      <c r="K243" t="n">
        <v>0</v>
      </c>
      <c r="L243" t="n">
        <v>0</v>
      </c>
      <c r="M243" t="n">
        <v>0</v>
      </c>
      <c r="N243" t="n">
        <v>0</v>
      </c>
      <c r="O243" t="n">
        <v>0</v>
      </c>
      <c r="P243" t="n">
        <v>0</v>
      </c>
      <c r="Q243" t="n">
        <v>0</v>
      </c>
      <c r="R243" s="2" t="inlineStr"/>
    </row>
    <row r="244" ht="15" customHeight="1">
      <c r="A244" t="inlineStr">
        <is>
          <t>A 63796-2025</t>
        </is>
      </c>
      <c r="B244" s="1" t="n">
        <v>46019.81944444445</v>
      </c>
      <c r="C244" s="1" t="n">
        <v>46035</v>
      </c>
      <c r="D244" t="inlineStr">
        <is>
          <t>DALARNAS LÄN</t>
        </is>
      </c>
      <c r="E244" t="inlineStr">
        <is>
          <t>GAGNEF</t>
        </is>
      </c>
      <c r="G244" t="n">
        <v>12.8</v>
      </c>
      <c r="H244" t="n">
        <v>0</v>
      </c>
      <c r="I244" t="n">
        <v>0</v>
      </c>
      <c r="J244" t="n">
        <v>0</v>
      </c>
      <c r="K244" t="n">
        <v>0</v>
      </c>
      <c r="L244" t="n">
        <v>0</v>
      </c>
      <c r="M244" t="n">
        <v>0</v>
      </c>
      <c r="N244" t="n">
        <v>0</v>
      </c>
      <c r="O244" t="n">
        <v>0</v>
      </c>
      <c r="P244" t="n">
        <v>0</v>
      </c>
      <c r="Q244" t="n">
        <v>0</v>
      </c>
      <c r="R244" s="2" t="inlineStr"/>
    </row>
    <row r="245" ht="15" customHeight="1">
      <c r="A245" t="inlineStr">
        <is>
          <t>A 4375-2024</t>
        </is>
      </c>
      <c r="B245" s="1" t="n">
        <v>45326.74480324074</v>
      </c>
      <c r="C245" s="1" t="n">
        <v>46035</v>
      </c>
      <c r="D245" t="inlineStr">
        <is>
          <t>DALARNAS LÄN</t>
        </is>
      </c>
      <c r="E245" t="inlineStr">
        <is>
          <t>GAGNEF</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57135-2025</t>
        </is>
      </c>
      <c r="B246" s="1" t="n">
        <v>45979.47457175926</v>
      </c>
      <c r="C246" s="1" t="n">
        <v>46035</v>
      </c>
      <c r="D246" t="inlineStr">
        <is>
          <t>DALARNAS LÄN</t>
        </is>
      </c>
      <c r="E246" t="inlineStr">
        <is>
          <t>GAGNEF</t>
        </is>
      </c>
      <c r="G246" t="n">
        <v>1.9</v>
      </c>
      <c r="H246" t="n">
        <v>0</v>
      </c>
      <c r="I246" t="n">
        <v>0</v>
      </c>
      <c r="J246" t="n">
        <v>0</v>
      </c>
      <c r="K246" t="n">
        <v>0</v>
      </c>
      <c r="L246" t="n">
        <v>0</v>
      </c>
      <c r="M246" t="n">
        <v>0</v>
      </c>
      <c r="N246" t="n">
        <v>0</v>
      </c>
      <c r="O246" t="n">
        <v>0</v>
      </c>
      <c r="P246" t="n">
        <v>0</v>
      </c>
      <c r="Q246" t="n">
        <v>0</v>
      </c>
      <c r="R246" s="2" t="inlineStr"/>
    </row>
    <row r="247" ht="15" customHeight="1">
      <c r="A247" t="inlineStr">
        <is>
          <t>A 22596-2024</t>
        </is>
      </c>
      <c r="B247" s="1" t="n">
        <v>45447.614375</v>
      </c>
      <c r="C247" s="1" t="n">
        <v>46035</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117-2026</t>
        </is>
      </c>
      <c r="B248" s="1" t="n">
        <v>46024.5670949074</v>
      </c>
      <c r="C248" s="1" t="n">
        <v>46035</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120-2026</t>
        </is>
      </c>
      <c r="B249" s="1" t="n">
        <v>46024.57240740741</v>
      </c>
      <c r="C249" s="1" t="n">
        <v>46035</v>
      </c>
      <c r="D249" t="inlineStr">
        <is>
          <t>DALARNAS LÄN</t>
        </is>
      </c>
      <c r="E249" t="inlineStr">
        <is>
          <t>GAGNEF</t>
        </is>
      </c>
      <c r="G249" t="n">
        <v>0.9</v>
      </c>
      <c r="H249" t="n">
        <v>0</v>
      </c>
      <c r="I249" t="n">
        <v>0</v>
      </c>
      <c r="J249" t="n">
        <v>0</v>
      </c>
      <c r="K249" t="n">
        <v>0</v>
      </c>
      <c r="L249" t="n">
        <v>0</v>
      </c>
      <c r="M249" t="n">
        <v>0</v>
      </c>
      <c r="N249" t="n">
        <v>0</v>
      </c>
      <c r="O249" t="n">
        <v>0</v>
      </c>
      <c r="P249" t="n">
        <v>0</v>
      </c>
      <c r="Q249" t="n">
        <v>0</v>
      </c>
      <c r="R249" s="2" t="inlineStr"/>
    </row>
    <row r="250" ht="15" customHeight="1">
      <c r="A250" t="inlineStr">
        <is>
          <t>A 134-2026</t>
        </is>
      </c>
      <c r="B250" s="1" t="n">
        <v>46024.60538194444</v>
      </c>
      <c r="C250" s="1" t="n">
        <v>46035</v>
      </c>
      <c r="D250" t="inlineStr">
        <is>
          <t>DALARNAS LÄN</t>
        </is>
      </c>
      <c r="E250" t="inlineStr">
        <is>
          <t>GAGNEF</t>
        </is>
      </c>
      <c r="G250" t="n">
        <v>4.7</v>
      </c>
      <c r="H250" t="n">
        <v>0</v>
      </c>
      <c r="I250" t="n">
        <v>0</v>
      </c>
      <c r="J250" t="n">
        <v>0</v>
      </c>
      <c r="K250" t="n">
        <v>0</v>
      </c>
      <c r="L250" t="n">
        <v>0</v>
      </c>
      <c r="M250" t="n">
        <v>0</v>
      </c>
      <c r="N250" t="n">
        <v>0</v>
      </c>
      <c r="O250" t="n">
        <v>0</v>
      </c>
      <c r="P250" t="n">
        <v>0</v>
      </c>
      <c r="Q250" t="n">
        <v>0</v>
      </c>
      <c r="R250" s="2" t="inlineStr"/>
    </row>
    <row r="251" ht="15" customHeight="1">
      <c r="A251" t="inlineStr">
        <is>
          <t>A 115-2026</t>
        </is>
      </c>
      <c r="B251" s="1" t="n">
        <v>46024.56222222222</v>
      </c>
      <c r="C251" s="1" t="n">
        <v>46035</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17710-2023</t>
        </is>
      </c>
      <c r="B252" s="1" t="n">
        <v>45037.38356481482</v>
      </c>
      <c r="C252" s="1" t="n">
        <v>46035</v>
      </c>
      <c r="D252" t="inlineStr">
        <is>
          <t>DALARNAS LÄN</t>
        </is>
      </c>
      <c r="E252" t="inlineStr">
        <is>
          <t>GAGNEF</t>
        </is>
      </c>
      <c r="G252" t="n">
        <v>10.7</v>
      </c>
      <c r="H252" t="n">
        <v>0</v>
      </c>
      <c r="I252" t="n">
        <v>0</v>
      </c>
      <c r="J252" t="n">
        <v>0</v>
      </c>
      <c r="K252" t="n">
        <v>0</v>
      </c>
      <c r="L252" t="n">
        <v>0</v>
      </c>
      <c r="M252" t="n">
        <v>0</v>
      </c>
      <c r="N252" t="n">
        <v>0</v>
      </c>
      <c r="O252" t="n">
        <v>0</v>
      </c>
      <c r="P252" t="n">
        <v>0</v>
      </c>
      <c r="Q252" t="n">
        <v>0</v>
      </c>
      <c r="R252" s="2" t="inlineStr"/>
    </row>
    <row r="253" ht="15" customHeight="1">
      <c r="A253" t="inlineStr">
        <is>
          <t>A 126-2026</t>
        </is>
      </c>
      <c r="B253" s="1" t="n">
        <v>46024.59197916667</v>
      </c>
      <c r="C253" s="1" t="n">
        <v>46035</v>
      </c>
      <c r="D253" t="inlineStr">
        <is>
          <t>DALARNAS LÄN</t>
        </is>
      </c>
      <c r="E253" t="inlineStr">
        <is>
          <t>GAGNEF</t>
        </is>
      </c>
      <c r="G253" t="n">
        <v>0.8</v>
      </c>
      <c r="H253" t="n">
        <v>0</v>
      </c>
      <c r="I253" t="n">
        <v>0</v>
      </c>
      <c r="J253" t="n">
        <v>0</v>
      </c>
      <c r="K253" t="n">
        <v>0</v>
      </c>
      <c r="L253" t="n">
        <v>0</v>
      </c>
      <c r="M253" t="n">
        <v>0</v>
      </c>
      <c r="N253" t="n">
        <v>0</v>
      </c>
      <c r="O253" t="n">
        <v>0</v>
      </c>
      <c r="P253" t="n">
        <v>0</v>
      </c>
      <c r="Q253" t="n">
        <v>0</v>
      </c>
      <c r="R253" s="2" t="inlineStr"/>
    </row>
    <row r="254" ht="15" customHeight="1">
      <c r="A254" t="inlineStr">
        <is>
          <t>A 131-2026</t>
        </is>
      </c>
      <c r="B254" s="1" t="n">
        <v>46024.60009259259</v>
      </c>
      <c r="C254" s="1" t="n">
        <v>46035</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44572-2024</t>
        </is>
      </c>
      <c r="B255" s="1" t="n">
        <v>45574</v>
      </c>
      <c r="C255" s="1" t="n">
        <v>46035</v>
      </c>
      <c r="D255" t="inlineStr">
        <is>
          <t>DALARNAS LÄN</t>
        </is>
      </c>
      <c r="E255" t="inlineStr">
        <is>
          <t>GAGNEF</t>
        </is>
      </c>
      <c r="G255" t="n">
        <v>0.8</v>
      </c>
      <c r="H255" t="n">
        <v>0</v>
      </c>
      <c r="I255" t="n">
        <v>0</v>
      </c>
      <c r="J255" t="n">
        <v>0</v>
      </c>
      <c r="K255" t="n">
        <v>0</v>
      </c>
      <c r="L255" t="n">
        <v>0</v>
      </c>
      <c r="M255" t="n">
        <v>0</v>
      </c>
      <c r="N255" t="n">
        <v>0</v>
      </c>
      <c r="O255" t="n">
        <v>0</v>
      </c>
      <c r="P255" t="n">
        <v>0</v>
      </c>
      <c r="Q255" t="n">
        <v>0</v>
      </c>
      <c r="R255" s="2" t="inlineStr"/>
    </row>
    <row r="256" ht="15" customHeight="1">
      <c r="A256" t="inlineStr">
        <is>
          <t>A 55-2026</t>
        </is>
      </c>
      <c r="B256" s="1" t="n">
        <v>46024.4365625</v>
      </c>
      <c r="C256" s="1" t="n">
        <v>46035</v>
      </c>
      <c r="D256" t="inlineStr">
        <is>
          <t>DALARNAS LÄN</t>
        </is>
      </c>
      <c r="E256" t="inlineStr">
        <is>
          <t>GAGNEF</t>
        </is>
      </c>
      <c r="G256" t="n">
        <v>6.5</v>
      </c>
      <c r="H256" t="n">
        <v>0</v>
      </c>
      <c r="I256" t="n">
        <v>0</v>
      </c>
      <c r="J256" t="n">
        <v>0</v>
      </c>
      <c r="K256" t="n">
        <v>0</v>
      </c>
      <c r="L256" t="n">
        <v>0</v>
      </c>
      <c r="M256" t="n">
        <v>0</v>
      </c>
      <c r="N256" t="n">
        <v>0</v>
      </c>
      <c r="O256" t="n">
        <v>0</v>
      </c>
      <c r="P256" t="n">
        <v>0</v>
      </c>
      <c r="Q256" t="n">
        <v>0</v>
      </c>
      <c r="R256" s="2" t="inlineStr"/>
    </row>
    <row r="257" ht="15" customHeight="1">
      <c r="A257" t="inlineStr">
        <is>
          <t>A 42677-2024</t>
        </is>
      </c>
      <c r="B257" s="1" t="n">
        <v>45566.37476851852</v>
      </c>
      <c r="C257" s="1" t="n">
        <v>46035</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48805-2024</t>
        </is>
      </c>
      <c r="B258" s="1" t="n">
        <v>45593.66460648148</v>
      </c>
      <c r="C258" s="1" t="n">
        <v>46035</v>
      </c>
      <c r="D258" t="inlineStr">
        <is>
          <t>DALARNAS LÄN</t>
        </is>
      </c>
      <c r="E258" t="inlineStr">
        <is>
          <t>GAGNEF</t>
        </is>
      </c>
      <c r="G258" t="n">
        <v>0.4</v>
      </c>
      <c r="H258" t="n">
        <v>0</v>
      </c>
      <c r="I258" t="n">
        <v>0</v>
      </c>
      <c r="J258" t="n">
        <v>0</v>
      </c>
      <c r="K258" t="n">
        <v>0</v>
      </c>
      <c r="L258" t="n">
        <v>0</v>
      </c>
      <c r="M258" t="n">
        <v>0</v>
      </c>
      <c r="N258" t="n">
        <v>0</v>
      </c>
      <c r="O258" t="n">
        <v>0</v>
      </c>
      <c r="P258" t="n">
        <v>0</v>
      </c>
      <c r="Q258" t="n">
        <v>0</v>
      </c>
      <c r="R258" s="2" t="inlineStr"/>
    </row>
    <row r="259" ht="15" customHeight="1">
      <c r="A259" t="inlineStr">
        <is>
          <t>A 340-2026</t>
        </is>
      </c>
      <c r="B259" s="1" t="n">
        <v>46027.60681712963</v>
      </c>
      <c r="C259" s="1" t="n">
        <v>46035</v>
      </c>
      <c r="D259" t="inlineStr">
        <is>
          <t>DALARNAS LÄN</t>
        </is>
      </c>
      <c r="E259" t="inlineStr">
        <is>
          <t>GAGNEF</t>
        </is>
      </c>
      <c r="G259" t="n">
        <v>3.3</v>
      </c>
      <c r="H259" t="n">
        <v>0</v>
      </c>
      <c r="I259" t="n">
        <v>0</v>
      </c>
      <c r="J259" t="n">
        <v>0</v>
      </c>
      <c r="K259" t="n">
        <v>0</v>
      </c>
      <c r="L259" t="n">
        <v>0</v>
      </c>
      <c r="M259" t="n">
        <v>0</v>
      </c>
      <c r="N259" t="n">
        <v>0</v>
      </c>
      <c r="O259" t="n">
        <v>0</v>
      </c>
      <c r="P259" t="n">
        <v>0</v>
      </c>
      <c r="Q259" t="n">
        <v>0</v>
      </c>
      <c r="R259" s="2" t="inlineStr"/>
    </row>
    <row r="260" ht="15" customHeight="1">
      <c r="A260" t="inlineStr">
        <is>
          <t>A 68330-2021</t>
        </is>
      </c>
      <c r="B260" s="1" t="n">
        <v>44527</v>
      </c>
      <c r="C260" s="1" t="n">
        <v>46035</v>
      </c>
      <c r="D260" t="inlineStr">
        <is>
          <t>DALARNAS LÄN</t>
        </is>
      </c>
      <c r="E260" t="inlineStr">
        <is>
          <t>GAGNEF</t>
        </is>
      </c>
      <c r="G260" t="n">
        <v>4.1</v>
      </c>
      <c r="H260" t="n">
        <v>0</v>
      </c>
      <c r="I260" t="n">
        <v>0</v>
      </c>
      <c r="J260" t="n">
        <v>0</v>
      </c>
      <c r="K260" t="n">
        <v>0</v>
      </c>
      <c r="L260" t="n">
        <v>0</v>
      </c>
      <c r="M260" t="n">
        <v>0</v>
      </c>
      <c r="N260" t="n">
        <v>0</v>
      </c>
      <c r="O260" t="n">
        <v>0</v>
      </c>
      <c r="P260" t="n">
        <v>0</v>
      </c>
      <c r="Q260" t="n">
        <v>0</v>
      </c>
      <c r="R260" s="2" t="inlineStr"/>
    </row>
    <row r="261" ht="15" customHeight="1">
      <c r="A261" t="inlineStr">
        <is>
          <t>A 301-2026</t>
        </is>
      </c>
      <c r="B261" s="1" t="n">
        <v>46027.52238425926</v>
      </c>
      <c r="C261" s="1" t="n">
        <v>46035</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245-2026</t>
        </is>
      </c>
      <c r="B262" s="1" t="n">
        <v>46027.39292824074</v>
      </c>
      <c r="C262" s="1" t="n">
        <v>46035</v>
      </c>
      <c r="D262" t="inlineStr">
        <is>
          <t>DALARNAS LÄN</t>
        </is>
      </c>
      <c r="E262" t="inlineStr">
        <is>
          <t>GAGNEF</t>
        </is>
      </c>
      <c r="G262" t="n">
        <v>6.4</v>
      </c>
      <c r="H262" t="n">
        <v>0</v>
      </c>
      <c r="I262" t="n">
        <v>0</v>
      </c>
      <c r="J262" t="n">
        <v>0</v>
      </c>
      <c r="K262" t="n">
        <v>0</v>
      </c>
      <c r="L262" t="n">
        <v>0</v>
      </c>
      <c r="M262" t="n">
        <v>0</v>
      </c>
      <c r="N262" t="n">
        <v>0</v>
      </c>
      <c r="O262" t="n">
        <v>0</v>
      </c>
      <c r="P262" t="n">
        <v>0</v>
      </c>
      <c r="Q262" t="n">
        <v>0</v>
      </c>
      <c r="R262" s="2" t="inlineStr"/>
    </row>
    <row r="263" ht="15" customHeight="1">
      <c r="A263" t="inlineStr">
        <is>
          <t>A 15684-2024</t>
        </is>
      </c>
      <c r="B263" s="1" t="n">
        <v>45404.43857638889</v>
      </c>
      <c r="C263" s="1" t="n">
        <v>46035</v>
      </c>
      <c r="D263" t="inlineStr">
        <is>
          <t>DALARNAS LÄN</t>
        </is>
      </c>
      <c r="E263" t="inlineStr">
        <is>
          <t>GAGNEF</t>
        </is>
      </c>
      <c r="G263" t="n">
        <v>1.8</v>
      </c>
      <c r="H263" t="n">
        <v>0</v>
      </c>
      <c r="I263" t="n">
        <v>0</v>
      </c>
      <c r="J263" t="n">
        <v>0</v>
      </c>
      <c r="K263" t="n">
        <v>0</v>
      </c>
      <c r="L263" t="n">
        <v>0</v>
      </c>
      <c r="M263" t="n">
        <v>0</v>
      </c>
      <c r="N263" t="n">
        <v>0</v>
      </c>
      <c r="O263" t="n">
        <v>0</v>
      </c>
      <c r="P263" t="n">
        <v>0</v>
      </c>
      <c r="Q263" t="n">
        <v>0</v>
      </c>
      <c r="R263" s="2" t="inlineStr"/>
    </row>
    <row r="264" ht="15" customHeight="1">
      <c r="A264" t="inlineStr">
        <is>
          <t>A 708-2026</t>
        </is>
      </c>
      <c r="B264" s="1" t="n">
        <v>46029.6206712963</v>
      </c>
      <c r="C264" s="1" t="n">
        <v>46035</v>
      </c>
      <c r="D264" t="inlineStr">
        <is>
          <t>DALARNAS LÄN</t>
        </is>
      </c>
      <c r="E264" t="inlineStr">
        <is>
          <t>GAGNEF</t>
        </is>
      </c>
      <c r="G264" t="n">
        <v>1.8</v>
      </c>
      <c r="H264" t="n">
        <v>0</v>
      </c>
      <c r="I264" t="n">
        <v>0</v>
      </c>
      <c r="J264" t="n">
        <v>0</v>
      </c>
      <c r="K264" t="n">
        <v>0</v>
      </c>
      <c r="L264" t="n">
        <v>0</v>
      </c>
      <c r="M264" t="n">
        <v>0</v>
      </c>
      <c r="N264" t="n">
        <v>0</v>
      </c>
      <c r="O264" t="n">
        <v>0</v>
      </c>
      <c r="P264" t="n">
        <v>0</v>
      </c>
      <c r="Q264" t="n">
        <v>0</v>
      </c>
      <c r="R264" s="2" t="inlineStr"/>
    </row>
    <row r="265" ht="15" customHeight="1">
      <c r="A265" t="inlineStr">
        <is>
          <t>A 1100-2026</t>
        </is>
      </c>
      <c r="B265" s="1" t="n">
        <v>46030.6665625</v>
      </c>
      <c r="C265" s="1" t="n">
        <v>46035</v>
      </c>
      <c r="D265" t="inlineStr">
        <is>
          <t>DALARNAS LÄN</t>
        </is>
      </c>
      <c r="E265" t="inlineStr">
        <is>
          <t>GAGNEF</t>
        </is>
      </c>
      <c r="G265" t="n">
        <v>10.7</v>
      </c>
      <c r="H265" t="n">
        <v>0</v>
      </c>
      <c r="I265" t="n">
        <v>0</v>
      </c>
      <c r="J265" t="n">
        <v>0</v>
      </c>
      <c r="K265" t="n">
        <v>0</v>
      </c>
      <c r="L265" t="n">
        <v>0</v>
      </c>
      <c r="M265" t="n">
        <v>0</v>
      </c>
      <c r="N265" t="n">
        <v>0</v>
      </c>
      <c r="O265" t="n">
        <v>0</v>
      </c>
      <c r="P265" t="n">
        <v>0</v>
      </c>
      <c r="Q265" t="n">
        <v>0</v>
      </c>
      <c r="R265" s="2" t="inlineStr"/>
    </row>
    <row r="266" ht="15" customHeight="1">
      <c r="A266" t="inlineStr">
        <is>
          <t>A 25024-2023</t>
        </is>
      </c>
      <c r="B266" s="1" t="n">
        <v>45085</v>
      </c>
      <c r="C266" s="1" t="n">
        <v>46035</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34853-2024</t>
        </is>
      </c>
      <c r="B267" s="1" t="n">
        <v>45527.32375</v>
      </c>
      <c r="C267" s="1" t="n">
        <v>46035</v>
      </c>
      <c r="D267" t="inlineStr">
        <is>
          <t>DALARNAS LÄN</t>
        </is>
      </c>
      <c r="E267" t="inlineStr">
        <is>
          <t>GAGNEF</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44054-2024</t>
        </is>
      </c>
      <c r="B268" s="1" t="n">
        <v>45572.59703703703</v>
      </c>
      <c r="C268" s="1" t="n">
        <v>46035</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63952-2021</t>
        </is>
      </c>
      <c r="B269" s="1" t="n">
        <v>44509.76625</v>
      </c>
      <c r="C269" s="1" t="n">
        <v>46035</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44336-2024</t>
        </is>
      </c>
      <c r="B270" s="1" t="n">
        <v>45573.61174768519</v>
      </c>
      <c r="C270" s="1" t="n">
        <v>46035</v>
      </c>
      <c r="D270" t="inlineStr">
        <is>
          <t>DALARNAS LÄN</t>
        </is>
      </c>
      <c r="E270" t="inlineStr">
        <is>
          <t>GAGNEF</t>
        </is>
      </c>
      <c r="G270" t="n">
        <v>2.8</v>
      </c>
      <c r="H270" t="n">
        <v>0</v>
      </c>
      <c r="I270" t="n">
        <v>0</v>
      </c>
      <c r="J270" t="n">
        <v>0</v>
      </c>
      <c r="K270" t="n">
        <v>0</v>
      </c>
      <c r="L270" t="n">
        <v>0</v>
      </c>
      <c r="M270" t="n">
        <v>0</v>
      </c>
      <c r="N270" t="n">
        <v>0</v>
      </c>
      <c r="O270" t="n">
        <v>0</v>
      </c>
      <c r="P270" t="n">
        <v>0</v>
      </c>
      <c r="Q270" t="n">
        <v>0</v>
      </c>
      <c r="R270" s="2" t="inlineStr"/>
    </row>
    <row r="271" ht="15" customHeight="1">
      <c r="A271" t="inlineStr">
        <is>
          <t>A 10995-2024</t>
        </is>
      </c>
      <c r="B271" s="1" t="n">
        <v>45370.55768518519</v>
      </c>
      <c r="C271" s="1" t="n">
        <v>46035</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44546-2024</t>
        </is>
      </c>
      <c r="B272" s="1" t="n">
        <v>45574</v>
      </c>
      <c r="C272" s="1" t="n">
        <v>46035</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1276-2026</t>
        </is>
      </c>
      <c r="B273" s="1" t="n">
        <v>46031.47527777778</v>
      </c>
      <c r="C273" s="1" t="n">
        <v>46035</v>
      </c>
      <c r="D273" t="inlineStr">
        <is>
          <t>DALARNAS LÄN</t>
        </is>
      </c>
      <c r="E273" t="inlineStr">
        <is>
          <t>GAGNEF</t>
        </is>
      </c>
      <c r="G273" t="n">
        <v>5.6</v>
      </c>
      <c r="H273" t="n">
        <v>0</v>
      </c>
      <c r="I273" t="n">
        <v>0</v>
      </c>
      <c r="J273" t="n">
        <v>0</v>
      </c>
      <c r="K273" t="n">
        <v>0</v>
      </c>
      <c r="L273" t="n">
        <v>0</v>
      </c>
      <c r="M273" t="n">
        <v>0</v>
      </c>
      <c r="N273" t="n">
        <v>0</v>
      </c>
      <c r="O273" t="n">
        <v>0</v>
      </c>
      <c r="P273" t="n">
        <v>0</v>
      </c>
      <c r="Q273" t="n">
        <v>0</v>
      </c>
      <c r="R273" s="2" t="inlineStr"/>
    </row>
    <row r="274" ht="15" customHeight="1">
      <c r="A274" t="inlineStr">
        <is>
          <t>A 1479-2025</t>
        </is>
      </c>
      <c r="B274" s="1" t="n">
        <v>45670</v>
      </c>
      <c r="C274" s="1" t="n">
        <v>46035</v>
      </c>
      <c r="D274" t="inlineStr">
        <is>
          <t>DALARNAS LÄN</t>
        </is>
      </c>
      <c r="E274" t="inlineStr">
        <is>
          <t>GAGNEF</t>
        </is>
      </c>
      <c r="G274" t="n">
        <v>5.5</v>
      </c>
      <c r="H274" t="n">
        <v>0</v>
      </c>
      <c r="I274" t="n">
        <v>0</v>
      </c>
      <c r="J274" t="n">
        <v>0</v>
      </c>
      <c r="K274" t="n">
        <v>0</v>
      </c>
      <c r="L274" t="n">
        <v>0</v>
      </c>
      <c r="M274" t="n">
        <v>0</v>
      </c>
      <c r="N274" t="n">
        <v>0</v>
      </c>
      <c r="O274" t="n">
        <v>0</v>
      </c>
      <c r="P274" t="n">
        <v>0</v>
      </c>
      <c r="Q274" t="n">
        <v>0</v>
      </c>
      <c r="R274" s="2" t="inlineStr"/>
    </row>
    <row r="275" ht="15" customHeight="1">
      <c r="A275" t="inlineStr">
        <is>
          <t>A 1481-2025</t>
        </is>
      </c>
      <c r="B275" s="1" t="n">
        <v>45670</v>
      </c>
      <c r="C275" s="1" t="n">
        <v>46035</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1411-2026</t>
        </is>
      </c>
      <c r="B276" s="1" t="n">
        <v>46031.66760416667</v>
      </c>
      <c r="C276" s="1" t="n">
        <v>46035</v>
      </c>
      <c r="D276" t="inlineStr">
        <is>
          <t>DALARNAS LÄN</t>
        </is>
      </c>
      <c r="E276" t="inlineStr">
        <is>
          <t>GAGNEF</t>
        </is>
      </c>
      <c r="G276" t="n">
        <v>3</v>
      </c>
      <c r="H276" t="n">
        <v>0</v>
      </c>
      <c r="I276" t="n">
        <v>0</v>
      </c>
      <c r="J276" t="n">
        <v>0</v>
      </c>
      <c r="K276" t="n">
        <v>0</v>
      </c>
      <c r="L276" t="n">
        <v>0</v>
      </c>
      <c r="M276" t="n">
        <v>0</v>
      </c>
      <c r="N276" t="n">
        <v>0</v>
      </c>
      <c r="O276" t="n">
        <v>0</v>
      </c>
      <c r="P276" t="n">
        <v>0</v>
      </c>
      <c r="Q276" t="n">
        <v>0</v>
      </c>
      <c r="R276" s="2" t="inlineStr"/>
    </row>
    <row r="277" ht="15" customHeight="1">
      <c r="A277" t="inlineStr">
        <is>
          <t>A 1413-2026</t>
        </is>
      </c>
      <c r="B277" s="1" t="n">
        <v>46031.68702546296</v>
      </c>
      <c r="C277" s="1" t="n">
        <v>46035</v>
      </c>
      <c r="D277" t="inlineStr">
        <is>
          <t>DALARNAS LÄN</t>
        </is>
      </c>
      <c r="E277" t="inlineStr">
        <is>
          <t>GAGNEF</t>
        </is>
      </c>
      <c r="G277" t="n">
        <v>1.5</v>
      </c>
      <c r="H277" t="n">
        <v>0</v>
      </c>
      <c r="I277" t="n">
        <v>0</v>
      </c>
      <c r="J277" t="n">
        <v>0</v>
      </c>
      <c r="K277" t="n">
        <v>0</v>
      </c>
      <c r="L277" t="n">
        <v>0</v>
      </c>
      <c r="M277" t="n">
        <v>0</v>
      </c>
      <c r="N277" t="n">
        <v>0</v>
      </c>
      <c r="O277" t="n">
        <v>0</v>
      </c>
      <c r="P277" t="n">
        <v>0</v>
      </c>
      <c r="Q277" t="n">
        <v>0</v>
      </c>
      <c r="R277" s="2" t="inlineStr"/>
    </row>
    <row r="278" ht="15" customHeight="1">
      <c r="A278" t="inlineStr">
        <is>
          <t>A 1584-2026</t>
        </is>
      </c>
      <c r="B278" s="1" t="n">
        <v>46034.43663194445</v>
      </c>
      <c r="C278" s="1" t="n">
        <v>46035</v>
      </c>
      <c r="D278" t="inlineStr">
        <is>
          <t>DALARNAS LÄN</t>
        </is>
      </c>
      <c r="E278" t="inlineStr">
        <is>
          <t>GAGNEF</t>
        </is>
      </c>
      <c r="G278" t="n">
        <v>2.9</v>
      </c>
      <c r="H278" t="n">
        <v>0</v>
      </c>
      <c r="I278" t="n">
        <v>0</v>
      </c>
      <c r="J278" t="n">
        <v>0</v>
      </c>
      <c r="K278" t="n">
        <v>0</v>
      </c>
      <c r="L278" t="n">
        <v>0</v>
      </c>
      <c r="M278" t="n">
        <v>0</v>
      </c>
      <c r="N278" t="n">
        <v>0</v>
      </c>
      <c r="O278" t="n">
        <v>0</v>
      </c>
      <c r="P278" t="n">
        <v>0</v>
      </c>
      <c r="Q278" t="n">
        <v>0</v>
      </c>
      <c r="R278" s="2" t="inlineStr"/>
    </row>
    <row r="279" ht="15" customHeight="1">
      <c r="A279" t="inlineStr">
        <is>
          <t>A 812-2025</t>
        </is>
      </c>
      <c r="B279" s="1" t="n">
        <v>45665.55768518519</v>
      </c>
      <c r="C279" s="1" t="n">
        <v>46035</v>
      </c>
      <c r="D279" t="inlineStr">
        <is>
          <t>DALARNAS LÄN</t>
        </is>
      </c>
      <c r="E279" t="inlineStr">
        <is>
          <t>GAGNEF</t>
        </is>
      </c>
      <c r="G279" t="n">
        <v>2.4</v>
      </c>
      <c r="H279" t="n">
        <v>0</v>
      </c>
      <c r="I279" t="n">
        <v>0</v>
      </c>
      <c r="J279" t="n">
        <v>0</v>
      </c>
      <c r="K279" t="n">
        <v>0</v>
      </c>
      <c r="L279" t="n">
        <v>0</v>
      </c>
      <c r="M279" t="n">
        <v>0</v>
      </c>
      <c r="N279" t="n">
        <v>0</v>
      </c>
      <c r="O279" t="n">
        <v>0</v>
      </c>
      <c r="P279" t="n">
        <v>0</v>
      </c>
      <c r="Q279" t="n">
        <v>0</v>
      </c>
      <c r="R279" s="2" t="inlineStr"/>
    </row>
    <row r="280" ht="15" customHeight="1">
      <c r="A280" t="inlineStr">
        <is>
          <t>A 36005-2023</t>
        </is>
      </c>
      <c r="B280" s="1" t="n">
        <v>45148</v>
      </c>
      <c r="C280" s="1" t="n">
        <v>46035</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1421-2026</t>
        </is>
      </c>
      <c r="B281" s="1" t="n">
        <v>46031</v>
      </c>
      <c r="C281" s="1" t="n">
        <v>46035</v>
      </c>
      <c r="D281" t="inlineStr">
        <is>
          <t>DALARNAS LÄN</t>
        </is>
      </c>
      <c r="E281" t="inlineStr">
        <is>
          <t>GAGNEF</t>
        </is>
      </c>
      <c r="G281" t="n">
        <v>6.6</v>
      </c>
      <c r="H281" t="n">
        <v>0</v>
      </c>
      <c r="I281" t="n">
        <v>0</v>
      </c>
      <c r="J281" t="n">
        <v>0</v>
      </c>
      <c r="K281" t="n">
        <v>0</v>
      </c>
      <c r="L281" t="n">
        <v>0</v>
      </c>
      <c r="M281" t="n">
        <v>0</v>
      </c>
      <c r="N281" t="n">
        <v>0</v>
      </c>
      <c r="O281" t="n">
        <v>0</v>
      </c>
      <c r="P281" t="n">
        <v>0</v>
      </c>
      <c r="Q281" t="n">
        <v>0</v>
      </c>
      <c r="R281" s="2" t="inlineStr"/>
    </row>
    <row r="282" ht="15" customHeight="1">
      <c r="A282" t="inlineStr">
        <is>
          <t>A 63648-2023</t>
        </is>
      </c>
      <c r="B282" s="1" t="n">
        <v>45275</v>
      </c>
      <c r="C282" s="1" t="n">
        <v>46035</v>
      </c>
      <c r="D282" t="inlineStr">
        <is>
          <t>DALARNAS LÄN</t>
        </is>
      </c>
      <c r="E282" t="inlineStr">
        <is>
          <t>GAGNEF</t>
        </is>
      </c>
      <c r="G282" t="n">
        <v>0.3</v>
      </c>
      <c r="H282" t="n">
        <v>0</v>
      </c>
      <c r="I282" t="n">
        <v>0</v>
      </c>
      <c r="J282" t="n">
        <v>0</v>
      </c>
      <c r="K282" t="n">
        <v>0</v>
      </c>
      <c r="L282" t="n">
        <v>0</v>
      </c>
      <c r="M282" t="n">
        <v>0</v>
      </c>
      <c r="N282" t="n">
        <v>0</v>
      </c>
      <c r="O282" t="n">
        <v>0</v>
      </c>
      <c r="P282" t="n">
        <v>0</v>
      </c>
      <c r="Q282" t="n">
        <v>0</v>
      </c>
      <c r="R282" s="2" t="inlineStr"/>
    </row>
    <row r="283" ht="15" customHeight="1">
      <c r="A283" t="inlineStr">
        <is>
          <t>A 1367-2026</t>
        </is>
      </c>
      <c r="B283" s="1" t="n">
        <v>46031.61078703704</v>
      </c>
      <c r="C283" s="1" t="n">
        <v>46035</v>
      </c>
      <c r="D283" t="inlineStr">
        <is>
          <t>DALARNAS LÄN</t>
        </is>
      </c>
      <c r="E283" t="inlineStr">
        <is>
          <t>GAGNEF</t>
        </is>
      </c>
      <c r="G283" t="n">
        <v>14.8</v>
      </c>
      <c r="H283" t="n">
        <v>0</v>
      </c>
      <c r="I283" t="n">
        <v>0</v>
      </c>
      <c r="J283" t="n">
        <v>0</v>
      </c>
      <c r="K283" t="n">
        <v>0</v>
      </c>
      <c r="L283" t="n">
        <v>0</v>
      </c>
      <c r="M283" t="n">
        <v>0</v>
      </c>
      <c r="N283" t="n">
        <v>0</v>
      </c>
      <c r="O283" t="n">
        <v>0</v>
      </c>
      <c r="P283" t="n">
        <v>0</v>
      </c>
      <c r="Q283" t="n">
        <v>0</v>
      </c>
      <c r="R283" s="2" t="inlineStr"/>
    </row>
    <row r="284" ht="15" customHeight="1">
      <c r="A284" t="inlineStr">
        <is>
          <t>A 56842-2024</t>
        </is>
      </c>
      <c r="B284" s="1" t="n">
        <v>45628.52410879629</v>
      </c>
      <c r="C284" s="1" t="n">
        <v>46035</v>
      </c>
      <c r="D284" t="inlineStr">
        <is>
          <t>DALARNAS LÄN</t>
        </is>
      </c>
      <c r="E284" t="inlineStr">
        <is>
          <t>GAGNEF</t>
        </is>
      </c>
      <c r="G284" t="n">
        <v>9.6</v>
      </c>
      <c r="H284" t="n">
        <v>0</v>
      </c>
      <c r="I284" t="n">
        <v>0</v>
      </c>
      <c r="J284" t="n">
        <v>0</v>
      </c>
      <c r="K284" t="n">
        <v>0</v>
      </c>
      <c r="L284" t="n">
        <v>0</v>
      </c>
      <c r="M284" t="n">
        <v>0</v>
      </c>
      <c r="N284" t="n">
        <v>0</v>
      </c>
      <c r="O284" t="n">
        <v>0</v>
      </c>
      <c r="P284" t="n">
        <v>0</v>
      </c>
      <c r="Q284" t="n">
        <v>0</v>
      </c>
      <c r="R284" s="2" t="inlineStr"/>
    </row>
    <row r="285" ht="15" customHeight="1">
      <c r="A285" t="inlineStr">
        <is>
          <t>A 1430-2026</t>
        </is>
      </c>
      <c r="B285" s="1" t="n">
        <v>46032.39976851852</v>
      </c>
      <c r="C285" s="1" t="n">
        <v>46035</v>
      </c>
      <c r="D285" t="inlineStr">
        <is>
          <t>DALARNAS LÄN</t>
        </is>
      </c>
      <c r="E285" t="inlineStr">
        <is>
          <t>GAGNEF</t>
        </is>
      </c>
      <c r="G285" t="n">
        <v>4.2</v>
      </c>
      <c r="H285" t="n">
        <v>0</v>
      </c>
      <c r="I285" t="n">
        <v>0</v>
      </c>
      <c r="J285" t="n">
        <v>0</v>
      </c>
      <c r="K285" t="n">
        <v>0</v>
      </c>
      <c r="L285" t="n">
        <v>0</v>
      </c>
      <c r="M285" t="n">
        <v>0</v>
      </c>
      <c r="N285" t="n">
        <v>0</v>
      </c>
      <c r="O285" t="n">
        <v>0</v>
      </c>
      <c r="P285" t="n">
        <v>0</v>
      </c>
      <c r="Q285" t="n">
        <v>0</v>
      </c>
      <c r="R285" s="2" t="inlineStr"/>
    </row>
    <row r="286" ht="15" customHeight="1">
      <c r="A286" t="inlineStr">
        <is>
          <t>A 1431-2026</t>
        </is>
      </c>
      <c r="B286" s="1" t="n">
        <v>46032.41365740741</v>
      </c>
      <c r="C286" s="1" t="n">
        <v>46035</v>
      </c>
      <c r="D286" t="inlineStr">
        <is>
          <t>DALARNAS LÄN</t>
        </is>
      </c>
      <c r="E286" t="inlineStr">
        <is>
          <t>GAGNEF</t>
        </is>
      </c>
      <c r="G286" t="n">
        <v>8.4</v>
      </c>
      <c r="H286" t="n">
        <v>0</v>
      </c>
      <c r="I286" t="n">
        <v>0</v>
      </c>
      <c r="J286" t="n">
        <v>0</v>
      </c>
      <c r="K286" t="n">
        <v>0</v>
      </c>
      <c r="L286" t="n">
        <v>0</v>
      </c>
      <c r="M286" t="n">
        <v>0</v>
      </c>
      <c r="N286" t="n">
        <v>0</v>
      </c>
      <c r="O286" t="n">
        <v>0</v>
      </c>
      <c r="P286" t="n">
        <v>0</v>
      </c>
      <c r="Q286" t="n">
        <v>0</v>
      </c>
      <c r="R286" s="2" t="inlineStr"/>
    </row>
    <row r="287" ht="15" customHeight="1">
      <c r="A287" t="inlineStr">
        <is>
          <t>A 1432-2026</t>
        </is>
      </c>
      <c r="B287" s="1" t="n">
        <v>46032.41707175926</v>
      </c>
      <c r="C287" s="1" t="n">
        <v>46035</v>
      </c>
      <c r="D287" t="inlineStr">
        <is>
          <t>DALARNAS LÄN</t>
        </is>
      </c>
      <c r="E287" t="inlineStr">
        <is>
          <t>GAGNEF</t>
        </is>
      </c>
      <c r="G287" t="n">
        <v>1.1</v>
      </c>
      <c r="H287" t="n">
        <v>0</v>
      </c>
      <c r="I287" t="n">
        <v>0</v>
      </c>
      <c r="J287" t="n">
        <v>0</v>
      </c>
      <c r="K287" t="n">
        <v>0</v>
      </c>
      <c r="L287" t="n">
        <v>0</v>
      </c>
      <c r="M287" t="n">
        <v>0</v>
      </c>
      <c r="N287" t="n">
        <v>0</v>
      </c>
      <c r="O287" t="n">
        <v>0</v>
      </c>
      <c r="P287" t="n">
        <v>0</v>
      </c>
      <c r="Q287" t="n">
        <v>0</v>
      </c>
      <c r="R287" s="2" t="inlineStr"/>
    </row>
    <row r="288" ht="15" customHeight="1">
      <c r="A288" t="inlineStr">
        <is>
          <t>A 19197-2023</t>
        </is>
      </c>
      <c r="B288" s="1" t="n">
        <v>45048</v>
      </c>
      <c r="C288" s="1" t="n">
        <v>46035</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59580-2025</t>
        </is>
      </c>
      <c r="B289" s="1" t="n">
        <v>45992.30768518519</v>
      </c>
      <c r="C289" s="1" t="n">
        <v>46035</v>
      </c>
      <c r="D289" t="inlineStr">
        <is>
          <t>DALARNAS LÄN</t>
        </is>
      </c>
      <c r="E289" t="inlineStr">
        <is>
          <t>GAGNEF</t>
        </is>
      </c>
      <c r="G289" t="n">
        <v>4.5</v>
      </c>
      <c r="H289" t="n">
        <v>0</v>
      </c>
      <c r="I289" t="n">
        <v>0</v>
      </c>
      <c r="J289" t="n">
        <v>0</v>
      </c>
      <c r="K289" t="n">
        <v>0</v>
      </c>
      <c r="L289" t="n">
        <v>0</v>
      </c>
      <c r="M289" t="n">
        <v>0</v>
      </c>
      <c r="N289" t="n">
        <v>0</v>
      </c>
      <c r="O289" t="n">
        <v>0</v>
      </c>
      <c r="P289" t="n">
        <v>0</v>
      </c>
      <c r="Q289" t="n">
        <v>0</v>
      </c>
      <c r="R289" s="2" t="inlineStr"/>
    </row>
    <row r="290" ht="15" customHeight="1">
      <c r="A290" t="inlineStr">
        <is>
          <t>A 19033-2024</t>
        </is>
      </c>
      <c r="B290" s="1" t="n">
        <v>45427.6833449074</v>
      </c>
      <c r="C290" s="1" t="n">
        <v>46035</v>
      </c>
      <c r="D290" t="inlineStr">
        <is>
          <t>DALARNAS LÄN</t>
        </is>
      </c>
      <c r="E290" t="inlineStr">
        <is>
          <t>GAGNEF</t>
        </is>
      </c>
      <c r="G290" t="n">
        <v>7.2</v>
      </c>
      <c r="H290" t="n">
        <v>0</v>
      </c>
      <c r="I290" t="n">
        <v>0</v>
      </c>
      <c r="J290" t="n">
        <v>0</v>
      </c>
      <c r="K290" t="n">
        <v>0</v>
      </c>
      <c r="L290" t="n">
        <v>0</v>
      </c>
      <c r="M290" t="n">
        <v>0</v>
      </c>
      <c r="N290" t="n">
        <v>0</v>
      </c>
      <c r="O290" t="n">
        <v>0</v>
      </c>
      <c r="P290" t="n">
        <v>0</v>
      </c>
      <c r="Q290" t="n">
        <v>0</v>
      </c>
      <c r="R290" s="2" t="inlineStr"/>
    </row>
    <row r="291" ht="15" customHeight="1">
      <c r="A291" t="inlineStr">
        <is>
          <t>A 43915-2024</t>
        </is>
      </c>
      <c r="B291" s="1" t="n">
        <v>45572.43608796296</v>
      </c>
      <c r="C291" s="1" t="n">
        <v>46035</v>
      </c>
      <c r="D291" t="inlineStr">
        <is>
          <t>DALARNAS LÄN</t>
        </is>
      </c>
      <c r="E291" t="inlineStr">
        <is>
          <t>GAGNEF</t>
        </is>
      </c>
      <c r="G291" t="n">
        <v>3.5</v>
      </c>
      <c r="H291" t="n">
        <v>0</v>
      </c>
      <c r="I291" t="n">
        <v>0</v>
      </c>
      <c r="J291" t="n">
        <v>0</v>
      </c>
      <c r="K291" t="n">
        <v>0</v>
      </c>
      <c r="L291" t="n">
        <v>0</v>
      </c>
      <c r="M291" t="n">
        <v>0</v>
      </c>
      <c r="N291" t="n">
        <v>0</v>
      </c>
      <c r="O291" t="n">
        <v>0</v>
      </c>
      <c r="P291" t="n">
        <v>0</v>
      </c>
      <c r="Q291" t="n">
        <v>0</v>
      </c>
      <c r="R291" s="2" t="inlineStr"/>
    </row>
    <row r="292" ht="15" customHeight="1">
      <c r="A292" t="inlineStr">
        <is>
          <t>A 3316-2022</t>
        </is>
      </c>
      <c r="B292" s="1" t="n">
        <v>44585</v>
      </c>
      <c r="C292" s="1" t="n">
        <v>46035</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16174-2023</t>
        </is>
      </c>
      <c r="B293" s="1" t="n">
        <v>45027</v>
      </c>
      <c r="C293" s="1" t="n">
        <v>46035</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15685-2024</t>
        </is>
      </c>
      <c r="B294" s="1" t="n">
        <v>45404.44038194444</v>
      </c>
      <c r="C294" s="1" t="n">
        <v>46035</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16192-2022</t>
        </is>
      </c>
      <c r="B295" s="1" t="n">
        <v>44669</v>
      </c>
      <c r="C295" s="1" t="n">
        <v>46035</v>
      </c>
      <c r="D295" t="inlineStr">
        <is>
          <t>DALARNAS LÄN</t>
        </is>
      </c>
      <c r="E295" t="inlineStr">
        <is>
          <t>GAGNEF</t>
        </is>
      </c>
      <c r="F295" t="inlineStr">
        <is>
          <t>Bergvik skog väst AB</t>
        </is>
      </c>
      <c r="G295" t="n">
        <v>1.4</v>
      </c>
      <c r="H295" t="n">
        <v>0</v>
      </c>
      <c r="I295" t="n">
        <v>0</v>
      </c>
      <c r="J295" t="n">
        <v>0</v>
      </c>
      <c r="K295" t="n">
        <v>0</v>
      </c>
      <c r="L295" t="n">
        <v>0</v>
      </c>
      <c r="M295" t="n">
        <v>0</v>
      </c>
      <c r="N295" t="n">
        <v>0</v>
      </c>
      <c r="O295" t="n">
        <v>0</v>
      </c>
      <c r="P295" t="n">
        <v>0</v>
      </c>
      <c r="Q295" t="n">
        <v>0</v>
      </c>
      <c r="R295" s="2" t="inlineStr"/>
    </row>
    <row r="296" ht="15" customHeight="1">
      <c r="A296" t="inlineStr">
        <is>
          <t>A 19685-2025</t>
        </is>
      </c>
      <c r="B296" s="1" t="n">
        <v>45770.86954861111</v>
      </c>
      <c r="C296" s="1" t="n">
        <v>46035</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3822-2025</t>
        </is>
      </c>
      <c r="B297" s="1" t="n">
        <v>45681.7166087963</v>
      </c>
      <c r="C297" s="1" t="n">
        <v>46035</v>
      </c>
      <c r="D297" t="inlineStr">
        <is>
          <t>DALARNAS LÄN</t>
        </is>
      </c>
      <c r="E297" t="inlineStr">
        <is>
          <t>GAGNEF</t>
        </is>
      </c>
      <c r="G297" t="n">
        <v>2.2</v>
      </c>
      <c r="H297" t="n">
        <v>0</v>
      </c>
      <c r="I297" t="n">
        <v>0</v>
      </c>
      <c r="J297" t="n">
        <v>0</v>
      </c>
      <c r="K297" t="n">
        <v>0</v>
      </c>
      <c r="L297" t="n">
        <v>0</v>
      </c>
      <c r="M297" t="n">
        <v>0</v>
      </c>
      <c r="N297" t="n">
        <v>0</v>
      </c>
      <c r="O297" t="n">
        <v>0</v>
      </c>
      <c r="P297" t="n">
        <v>0</v>
      </c>
      <c r="Q297" t="n">
        <v>0</v>
      </c>
      <c r="R297" s="2" t="inlineStr"/>
    </row>
    <row r="298" ht="15" customHeight="1">
      <c r="A298" t="inlineStr">
        <is>
          <t>A 39367-2023</t>
        </is>
      </c>
      <c r="B298" s="1" t="n">
        <v>45166</v>
      </c>
      <c r="C298" s="1" t="n">
        <v>46035</v>
      </c>
      <c r="D298" t="inlineStr">
        <is>
          <t>DALARNAS LÄN</t>
        </is>
      </c>
      <c r="E298" t="inlineStr">
        <is>
          <t>GAGNEF</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51287-2023</t>
        </is>
      </c>
      <c r="B299" s="1" t="n">
        <v>45219</v>
      </c>
      <c r="C299" s="1" t="n">
        <v>46035</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15861-2025</t>
        </is>
      </c>
      <c r="B300" s="1" t="n">
        <v>45749.35199074074</v>
      </c>
      <c r="C300" s="1" t="n">
        <v>46035</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18956-2025</t>
        </is>
      </c>
      <c r="B301" s="1" t="n">
        <v>45764.51827546296</v>
      </c>
      <c r="C301" s="1" t="n">
        <v>46035</v>
      </c>
      <c r="D301" t="inlineStr">
        <is>
          <t>DALARNAS LÄN</t>
        </is>
      </c>
      <c r="E301" t="inlineStr">
        <is>
          <t>GAGNEF</t>
        </is>
      </c>
      <c r="G301" t="n">
        <v>1.4</v>
      </c>
      <c r="H301" t="n">
        <v>0</v>
      </c>
      <c r="I301" t="n">
        <v>0</v>
      </c>
      <c r="J301" t="n">
        <v>0</v>
      </c>
      <c r="K301" t="n">
        <v>0</v>
      </c>
      <c r="L301" t="n">
        <v>0</v>
      </c>
      <c r="M301" t="n">
        <v>0</v>
      </c>
      <c r="N301" t="n">
        <v>0</v>
      </c>
      <c r="O301" t="n">
        <v>0</v>
      </c>
      <c r="P301" t="n">
        <v>0</v>
      </c>
      <c r="Q301" t="n">
        <v>0</v>
      </c>
      <c r="R301" s="2" t="inlineStr"/>
    </row>
    <row r="302" ht="15" customHeight="1">
      <c r="A302" t="inlineStr">
        <is>
          <t>A 45596-2023</t>
        </is>
      </c>
      <c r="B302" s="1" t="n">
        <v>45194.64077546296</v>
      </c>
      <c r="C302" s="1" t="n">
        <v>46035</v>
      </c>
      <c r="D302" t="inlineStr">
        <is>
          <t>DALARNAS LÄN</t>
        </is>
      </c>
      <c r="E302" t="inlineStr">
        <is>
          <t>GAGNEF</t>
        </is>
      </c>
      <c r="G302" t="n">
        <v>4.7</v>
      </c>
      <c r="H302" t="n">
        <v>0</v>
      </c>
      <c r="I302" t="n">
        <v>0</v>
      </c>
      <c r="J302" t="n">
        <v>0</v>
      </c>
      <c r="K302" t="n">
        <v>0</v>
      </c>
      <c r="L302" t="n">
        <v>0</v>
      </c>
      <c r="M302" t="n">
        <v>0</v>
      </c>
      <c r="N302" t="n">
        <v>0</v>
      </c>
      <c r="O302" t="n">
        <v>0</v>
      </c>
      <c r="P302" t="n">
        <v>0</v>
      </c>
      <c r="Q302" t="n">
        <v>0</v>
      </c>
      <c r="R302" s="2" t="inlineStr"/>
    </row>
    <row r="303" ht="15" customHeight="1">
      <c r="A303" t="inlineStr">
        <is>
          <t>A 51251-2023</t>
        </is>
      </c>
      <c r="B303" s="1" t="n">
        <v>45219.48548611111</v>
      </c>
      <c r="C303" s="1" t="n">
        <v>46035</v>
      </c>
      <c r="D303" t="inlineStr">
        <is>
          <t>DALARNAS LÄN</t>
        </is>
      </c>
      <c r="E303" t="inlineStr">
        <is>
          <t>GAGNEF</t>
        </is>
      </c>
      <c r="G303" t="n">
        <v>2.2</v>
      </c>
      <c r="H303" t="n">
        <v>0</v>
      </c>
      <c r="I303" t="n">
        <v>0</v>
      </c>
      <c r="J303" t="n">
        <v>0</v>
      </c>
      <c r="K303" t="n">
        <v>0</v>
      </c>
      <c r="L303" t="n">
        <v>0</v>
      </c>
      <c r="M303" t="n">
        <v>0</v>
      </c>
      <c r="N303" t="n">
        <v>0</v>
      </c>
      <c r="O303" t="n">
        <v>0</v>
      </c>
      <c r="P303" t="n">
        <v>0</v>
      </c>
      <c r="Q303" t="n">
        <v>0</v>
      </c>
      <c r="R303" s="2" t="inlineStr"/>
    </row>
    <row r="304" ht="15" customHeight="1">
      <c r="A304" t="inlineStr">
        <is>
          <t>A 8867-2025</t>
        </is>
      </c>
      <c r="B304" s="1" t="n">
        <v>45713.36719907408</v>
      </c>
      <c r="C304" s="1" t="n">
        <v>46035</v>
      </c>
      <c r="D304" t="inlineStr">
        <is>
          <t>DALARNAS LÄN</t>
        </is>
      </c>
      <c r="E304" t="inlineStr">
        <is>
          <t>GAGNEF</t>
        </is>
      </c>
      <c r="G304" t="n">
        <v>0.8</v>
      </c>
      <c r="H304" t="n">
        <v>0</v>
      </c>
      <c r="I304" t="n">
        <v>0</v>
      </c>
      <c r="J304" t="n">
        <v>0</v>
      </c>
      <c r="K304" t="n">
        <v>0</v>
      </c>
      <c r="L304" t="n">
        <v>0</v>
      </c>
      <c r="M304" t="n">
        <v>0</v>
      </c>
      <c r="N304" t="n">
        <v>0</v>
      </c>
      <c r="O304" t="n">
        <v>0</v>
      </c>
      <c r="P304" t="n">
        <v>0</v>
      </c>
      <c r="Q304" t="n">
        <v>0</v>
      </c>
      <c r="R304" s="2" t="inlineStr"/>
    </row>
    <row r="305" ht="15" customHeight="1">
      <c r="A305" t="inlineStr">
        <is>
          <t>A 60667-2023</t>
        </is>
      </c>
      <c r="B305" s="1" t="n">
        <v>45260</v>
      </c>
      <c r="C305" s="1" t="n">
        <v>46035</v>
      </c>
      <c r="D305" t="inlineStr">
        <is>
          <t>DALARNAS LÄN</t>
        </is>
      </c>
      <c r="E305" t="inlineStr">
        <is>
          <t>GAGNEF</t>
        </is>
      </c>
      <c r="G305" t="n">
        <v>2.1</v>
      </c>
      <c r="H305" t="n">
        <v>0</v>
      </c>
      <c r="I305" t="n">
        <v>0</v>
      </c>
      <c r="J305" t="n">
        <v>0</v>
      </c>
      <c r="K305" t="n">
        <v>0</v>
      </c>
      <c r="L305" t="n">
        <v>0</v>
      </c>
      <c r="M305" t="n">
        <v>0</v>
      </c>
      <c r="N305" t="n">
        <v>0</v>
      </c>
      <c r="O305" t="n">
        <v>0</v>
      </c>
      <c r="P305" t="n">
        <v>0</v>
      </c>
      <c r="Q305" t="n">
        <v>0</v>
      </c>
      <c r="R305" s="2" t="inlineStr"/>
    </row>
    <row r="306" ht="15" customHeight="1">
      <c r="A306" t="inlineStr">
        <is>
          <t>A 2173-2024</t>
        </is>
      </c>
      <c r="B306" s="1" t="n">
        <v>45309.63329861111</v>
      </c>
      <c r="C306" s="1" t="n">
        <v>46035</v>
      </c>
      <c r="D306" t="inlineStr">
        <is>
          <t>DALARNAS LÄN</t>
        </is>
      </c>
      <c r="E306" t="inlineStr">
        <is>
          <t>GAGNEF</t>
        </is>
      </c>
      <c r="G306" t="n">
        <v>1.3</v>
      </c>
      <c r="H306" t="n">
        <v>0</v>
      </c>
      <c r="I306" t="n">
        <v>0</v>
      </c>
      <c r="J306" t="n">
        <v>0</v>
      </c>
      <c r="K306" t="n">
        <v>0</v>
      </c>
      <c r="L306" t="n">
        <v>0</v>
      </c>
      <c r="M306" t="n">
        <v>0</v>
      </c>
      <c r="N306" t="n">
        <v>0</v>
      </c>
      <c r="O306" t="n">
        <v>0</v>
      </c>
      <c r="P306" t="n">
        <v>0</v>
      </c>
      <c r="Q306" t="n">
        <v>0</v>
      </c>
      <c r="R306" s="2" t="inlineStr"/>
    </row>
    <row r="307" ht="15" customHeight="1">
      <c r="A307" t="inlineStr">
        <is>
          <t>A 19346-2025</t>
        </is>
      </c>
      <c r="B307" s="1" t="n">
        <v>45769.60106481481</v>
      </c>
      <c r="C307" s="1" t="n">
        <v>46035</v>
      </c>
      <c r="D307" t="inlineStr">
        <is>
          <t>DALARNAS LÄN</t>
        </is>
      </c>
      <c r="E307" t="inlineStr">
        <is>
          <t>GAGNEF</t>
        </is>
      </c>
      <c r="G307" t="n">
        <v>4.1</v>
      </c>
      <c r="H307" t="n">
        <v>0</v>
      </c>
      <c r="I307" t="n">
        <v>0</v>
      </c>
      <c r="J307" t="n">
        <v>0</v>
      </c>
      <c r="K307" t="n">
        <v>0</v>
      </c>
      <c r="L307" t="n">
        <v>0</v>
      </c>
      <c r="M307" t="n">
        <v>0</v>
      </c>
      <c r="N307" t="n">
        <v>0</v>
      </c>
      <c r="O307" t="n">
        <v>0</v>
      </c>
      <c r="P307" t="n">
        <v>0</v>
      </c>
      <c r="Q307" t="n">
        <v>0</v>
      </c>
      <c r="R307" s="2" t="inlineStr"/>
    </row>
    <row r="308" ht="15" customHeight="1">
      <c r="A308" t="inlineStr">
        <is>
          <t>A 60652-2023</t>
        </is>
      </c>
      <c r="B308" s="1" t="n">
        <v>45260</v>
      </c>
      <c r="C308" s="1" t="n">
        <v>46035</v>
      </c>
      <c r="D308" t="inlineStr">
        <is>
          <t>DALARNAS LÄN</t>
        </is>
      </c>
      <c r="E308" t="inlineStr">
        <is>
          <t>GAGNEF</t>
        </is>
      </c>
      <c r="G308" t="n">
        <v>3.4</v>
      </c>
      <c r="H308" t="n">
        <v>0</v>
      </c>
      <c r="I308" t="n">
        <v>0</v>
      </c>
      <c r="J308" t="n">
        <v>0</v>
      </c>
      <c r="K308" t="n">
        <v>0</v>
      </c>
      <c r="L308" t="n">
        <v>0</v>
      </c>
      <c r="M308" t="n">
        <v>0</v>
      </c>
      <c r="N308" t="n">
        <v>0</v>
      </c>
      <c r="O308" t="n">
        <v>0</v>
      </c>
      <c r="P308" t="n">
        <v>0</v>
      </c>
      <c r="Q308" t="n">
        <v>0</v>
      </c>
      <c r="R308" s="2" t="inlineStr"/>
    </row>
    <row r="309" ht="15" customHeight="1">
      <c r="A309" t="inlineStr">
        <is>
          <t>A 60021-2023</t>
        </is>
      </c>
      <c r="B309" s="1" t="n">
        <v>45258</v>
      </c>
      <c r="C309" s="1" t="n">
        <v>46035</v>
      </c>
      <c r="D309" t="inlineStr">
        <is>
          <t>DALARNAS LÄN</t>
        </is>
      </c>
      <c r="E309" t="inlineStr">
        <is>
          <t>GAGNEF</t>
        </is>
      </c>
      <c r="G309" t="n">
        <v>1.2</v>
      </c>
      <c r="H309" t="n">
        <v>0</v>
      </c>
      <c r="I309" t="n">
        <v>0</v>
      </c>
      <c r="J309" t="n">
        <v>0</v>
      </c>
      <c r="K309" t="n">
        <v>0</v>
      </c>
      <c r="L309" t="n">
        <v>0</v>
      </c>
      <c r="M309" t="n">
        <v>0</v>
      </c>
      <c r="N309" t="n">
        <v>0</v>
      </c>
      <c r="O309" t="n">
        <v>0</v>
      </c>
      <c r="P309" t="n">
        <v>0</v>
      </c>
      <c r="Q309" t="n">
        <v>0</v>
      </c>
      <c r="R309" s="2" t="inlineStr"/>
    </row>
    <row r="310" ht="15" customHeight="1">
      <c r="A310" t="inlineStr">
        <is>
          <t>A 64987-2023</t>
        </is>
      </c>
      <c r="B310" s="1" t="n">
        <v>45285</v>
      </c>
      <c r="C310" s="1" t="n">
        <v>46035</v>
      </c>
      <c r="D310" t="inlineStr">
        <is>
          <t>DALARNAS LÄN</t>
        </is>
      </c>
      <c r="E310" t="inlineStr">
        <is>
          <t>GAGNEF</t>
        </is>
      </c>
      <c r="G310" t="n">
        <v>6.2</v>
      </c>
      <c r="H310" t="n">
        <v>0</v>
      </c>
      <c r="I310" t="n">
        <v>0</v>
      </c>
      <c r="J310" t="n">
        <v>0</v>
      </c>
      <c r="K310" t="n">
        <v>0</v>
      </c>
      <c r="L310" t="n">
        <v>0</v>
      </c>
      <c r="M310" t="n">
        <v>0</v>
      </c>
      <c r="N310" t="n">
        <v>0</v>
      </c>
      <c r="O310" t="n">
        <v>0</v>
      </c>
      <c r="P310" t="n">
        <v>0</v>
      </c>
      <c r="Q310" t="n">
        <v>0</v>
      </c>
      <c r="R310" s="2" t="inlineStr"/>
    </row>
    <row r="311" ht="15" customHeight="1">
      <c r="A311" t="inlineStr">
        <is>
          <t>A 48645-2021</t>
        </is>
      </c>
      <c r="B311" s="1" t="n">
        <v>44452.52619212963</v>
      </c>
      <c r="C311" s="1" t="n">
        <v>46035</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4374-2024</t>
        </is>
      </c>
      <c r="B312" s="1" t="n">
        <v>45326.73876157407</v>
      </c>
      <c r="C312" s="1" t="n">
        <v>46035</v>
      </c>
      <c r="D312" t="inlineStr">
        <is>
          <t>DALARNAS LÄN</t>
        </is>
      </c>
      <c r="E312" t="inlineStr">
        <is>
          <t>GAGNEF</t>
        </is>
      </c>
      <c r="G312" t="n">
        <v>3.5</v>
      </c>
      <c r="H312" t="n">
        <v>0</v>
      </c>
      <c r="I312" t="n">
        <v>0</v>
      </c>
      <c r="J312" t="n">
        <v>0</v>
      </c>
      <c r="K312" t="n">
        <v>0</v>
      </c>
      <c r="L312" t="n">
        <v>0</v>
      </c>
      <c r="M312" t="n">
        <v>0</v>
      </c>
      <c r="N312" t="n">
        <v>0</v>
      </c>
      <c r="O312" t="n">
        <v>0</v>
      </c>
      <c r="P312" t="n">
        <v>0</v>
      </c>
      <c r="Q312" t="n">
        <v>0</v>
      </c>
      <c r="R312" s="2" t="inlineStr"/>
    </row>
    <row r="313" ht="15" customHeight="1">
      <c r="A313" t="inlineStr">
        <is>
          <t>A 12741-2025</t>
        </is>
      </c>
      <c r="B313" s="1" t="n">
        <v>45733.54667824074</v>
      </c>
      <c r="C313" s="1" t="n">
        <v>46035</v>
      </c>
      <c r="D313" t="inlineStr">
        <is>
          <t>DALARNAS LÄN</t>
        </is>
      </c>
      <c r="E313" t="inlineStr">
        <is>
          <t>GAGNEF</t>
        </is>
      </c>
      <c r="G313" t="n">
        <v>4.6</v>
      </c>
      <c r="H313" t="n">
        <v>0</v>
      </c>
      <c r="I313" t="n">
        <v>0</v>
      </c>
      <c r="J313" t="n">
        <v>0</v>
      </c>
      <c r="K313" t="n">
        <v>0</v>
      </c>
      <c r="L313" t="n">
        <v>0</v>
      </c>
      <c r="M313" t="n">
        <v>0</v>
      </c>
      <c r="N313" t="n">
        <v>0</v>
      </c>
      <c r="O313" t="n">
        <v>0</v>
      </c>
      <c r="P313" t="n">
        <v>0</v>
      </c>
      <c r="Q313" t="n">
        <v>0</v>
      </c>
      <c r="R313" s="2" t="inlineStr"/>
    </row>
    <row r="314" ht="15" customHeight="1">
      <c r="A314" t="inlineStr">
        <is>
          <t>A 12816-2025</t>
        </is>
      </c>
      <c r="B314" s="1" t="n">
        <v>45733.62307870371</v>
      </c>
      <c r="C314" s="1" t="n">
        <v>46035</v>
      </c>
      <c r="D314" t="inlineStr">
        <is>
          <t>DALARNAS LÄN</t>
        </is>
      </c>
      <c r="E314" t="inlineStr">
        <is>
          <t>GAGNEF</t>
        </is>
      </c>
      <c r="G314" t="n">
        <v>2.9</v>
      </c>
      <c r="H314" t="n">
        <v>0</v>
      </c>
      <c r="I314" t="n">
        <v>0</v>
      </c>
      <c r="J314" t="n">
        <v>0</v>
      </c>
      <c r="K314" t="n">
        <v>0</v>
      </c>
      <c r="L314" t="n">
        <v>0</v>
      </c>
      <c r="M314" t="n">
        <v>0</v>
      </c>
      <c r="N314" t="n">
        <v>0</v>
      </c>
      <c r="O314" t="n">
        <v>0</v>
      </c>
      <c r="P314" t="n">
        <v>0</v>
      </c>
      <c r="Q314" t="n">
        <v>0</v>
      </c>
      <c r="R314" s="2" t="inlineStr"/>
    </row>
    <row r="315" ht="15" customHeight="1">
      <c r="A315" t="inlineStr">
        <is>
          <t>A 48867-2024</t>
        </is>
      </c>
      <c r="B315" s="1" t="n">
        <v>45594.25377314815</v>
      </c>
      <c r="C315" s="1" t="n">
        <v>46035</v>
      </c>
      <c r="D315" t="inlineStr">
        <is>
          <t>DALARNAS LÄN</t>
        </is>
      </c>
      <c r="E315" t="inlineStr">
        <is>
          <t>GAGNEF</t>
        </is>
      </c>
      <c r="G315" t="n">
        <v>0.7</v>
      </c>
      <c r="H315" t="n">
        <v>0</v>
      </c>
      <c r="I315" t="n">
        <v>0</v>
      </c>
      <c r="J315" t="n">
        <v>0</v>
      </c>
      <c r="K315" t="n">
        <v>0</v>
      </c>
      <c r="L315" t="n">
        <v>0</v>
      </c>
      <c r="M315" t="n">
        <v>0</v>
      </c>
      <c r="N315" t="n">
        <v>0</v>
      </c>
      <c r="O315" t="n">
        <v>0</v>
      </c>
      <c r="P315" t="n">
        <v>0</v>
      </c>
      <c r="Q315" t="n">
        <v>0</v>
      </c>
      <c r="R315" s="2" t="inlineStr"/>
    </row>
    <row r="316" ht="15" customHeight="1">
      <c r="A316" t="inlineStr">
        <is>
          <t>A 51231-2023</t>
        </is>
      </c>
      <c r="B316" s="1" t="n">
        <v>45219</v>
      </c>
      <c r="C316" s="1" t="n">
        <v>46035</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31245-2024</t>
        </is>
      </c>
      <c r="B317" s="1" t="n">
        <v>45503.65226851852</v>
      </c>
      <c r="C317" s="1" t="n">
        <v>46035</v>
      </c>
      <c r="D317" t="inlineStr">
        <is>
          <t>DALARNAS LÄN</t>
        </is>
      </c>
      <c r="E317" t="inlineStr">
        <is>
          <t>GAGNEF</t>
        </is>
      </c>
      <c r="G317" t="n">
        <v>0.9</v>
      </c>
      <c r="H317" t="n">
        <v>0</v>
      </c>
      <c r="I317" t="n">
        <v>0</v>
      </c>
      <c r="J317" t="n">
        <v>0</v>
      </c>
      <c r="K317" t="n">
        <v>0</v>
      </c>
      <c r="L317" t="n">
        <v>0</v>
      </c>
      <c r="M317" t="n">
        <v>0</v>
      </c>
      <c r="N317" t="n">
        <v>0</v>
      </c>
      <c r="O317" t="n">
        <v>0</v>
      </c>
      <c r="P317" t="n">
        <v>0</v>
      </c>
      <c r="Q317" t="n">
        <v>0</v>
      </c>
      <c r="R317" s="2" t="inlineStr"/>
    </row>
    <row r="318" ht="15" customHeight="1">
      <c r="A318" t="inlineStr">
        <is>
          <t>A 19046-2025</t>
        </is>
      </c>
      <c r="B318" s="1" t="n">
        <v>45764.76855324074</v>
      </c>
      <c r="C318" s="1" t="n">
        <v>46035</v>
      </c>
      <c r="D318" t="inlineStr">
        <is>
          <t>DALARNAS LÄN</t>
        </is>
      </c>
      <c r="E318" t="inlineStr">
        <is>
          <t>GAGNEF</t>
        </is>
      </c>
      <c r="G318" t="n">
        <v>20.4</v>
      </c>
      <c r="H318" t="n">
        <v>0</v>
      </c>
      <c r="I318" t="n">
        <v>0</v>
      </c>
      <c r="J318" t="n">
        <v>0</v>
      </c>
      <c r="K318" t="n">
        <v>0</v>
      </c>
      <c r="L318" t="n">
        <v>0</v>
      </c>
      <c r="M318" t="n">
        <v>0</v>
      </c>
      <c r="N318" t="n">
        <v>0</v>
      </c>
      <c r="O318" t="n">
        <v>0</v>
      </c>
      <c r="P318" t="n">
        <v>0</v>
      </c>
      <c r="Q318" t="n">
        <v>0</v>
      </c>
      <c r="R318" s="2" t="inlineStr"/>
    </row>
    <row r="319" ht="15" customHeight="1">
      <c r="A319" t="inlineStr">
        <is>
          <t>A 15686-2024</t>
        </is>
      </c>
      <c r="B319" s="1" t="n">
        <v>45404.4404050926</v>
      </c>
      <c r="C319" s="1" t="n">
        <v>46035</v>
      </c>
      <c r="D319" t="inlineStr">
        <is>
          <t>DALARNAS LÄN</t>
        </is>
      </c>
      <c r="E319" t="inlineStr">
        <is>
          <t>GAGNEF</t>
        </is>
      </c>
      <c r="G319" t="n">
        <v>2.4</v>
      </c>
      <c r="H319" t="n">
        <v>0</v>
      </c>
      <c r="I319" t="n">
        <v>0</v>
      </c>
      <c r="J319" t="n">
        <v>0</v>
      </c>
      <c r="K319" t="n">
        <v>0</v>
      </c>
      <c r="L319" t="n">
        <v>0</v>
      </c>
      <c r="M319" t="n">
        <v>0</v>
      </c>
      <c r="N319" t="n">
        <v>0</v>
      </c>
      <c r="O319" t="n">
        <v>0</v>
      </c>
      <c r="P319" t="n">
        <v>0</v>
      </c>
      <c r="Q319" t="n">
        <v>0</v>
      </c>
      <c r="R319" s="2" t="inlineStr"/>
    </row>
    <row r="320" ht="15" customHeight="1">
      <c r="A320" t="inlineStr">
        <is>
          <t>A 41442-2024</t>
        </is>
      </c>
      <c r="B320" s="1" t="n">
        <v>45560.39084490741</v>
      </c>
      <c r="C320" s="1" t="n">
        <v>46035</v>
      </c>
      <c r="D320" t="inlineStr">
        <is>
          <t>DALARNAS LÄN</t>
        </is>
      </c>
      <c r="E320" t="inlineStr">
        <is>
          <t>GAGNEF</t>
        </is>
      </c>
      <c r="G320" t="n">
        <v>2.2</v>
      </c>
      <c r="H320" t="n">
        <v>0</v>
      </c>
      <c r="I320" t="n">
        <v>0</v>
      </c>
      <c r="J320" t="n">
        <v>0</v>
      </c>
      <c r="K320" t="n">
        <v>0</v>
      </c>
      <c r="L320" t="n">
        <v>0</v>
      </c>
      <c r="M320" t="n">
        <v>0</v>
      </c>
      <c r="N320" t="n">
        <v>0</v>
      </c>
      <c r="O320" t="n">
        <v>0</v>
      </c>
      <c r="P320" t="n">
        <v>0</v>
      </c>
      <c r="Q320" t="n">
        <v>0</v>
      </c>
      <c r="R320" s="2" t="inlineStr"/>
    </row>
    <row r="321" ht="15" customHeight="1">
      <c r="A321" t="inlineStr">
        <is>
          <t>A 30667-2024</t>
        </is>
      </c>
      <c r="B321" s="1" t="n">
        <v>45495.70825231481</v>
      </c>
      <c r="C321" s="1" t="n">
        <v>46035</v>
      </c>
      <c r="D321" t="inlineStr">
        <is>
          <t>DALARNAS LÄN</t>
        </is>
      </c>
      <c r="E321" t="inlineStr">
        <is>
          <t>GAGNEF</t>
        </is>
      </c>
      <c r="G321" t="n">
        <v>2</v>
      </c>
      <c r="H321" t="n">
        <v>0</v>
      </c>
      <c r="I321" t="n">
        <v>0</v>
      </c>
      <c r="J321" t="n">
        <v>0</v>
      </c>
      <c r="K321" t="n">
        <v>0</v>
      </c>
      <c r="L321" t="n">
        <v>0</v>
      </c>
      <c r="M321" t="n">
        <v>0</v>
      </c>
      <c r="N321" t="n">
        <v>0</v>
      </c>
      <c r="O321" t="n">
        <v>0</v>
      </c>
      <c r="P321" t="n">
        <v>0</v>
      </c>
      <c r="Q321" t="n">
        <v>0</v>
      </c>
      <c r="R321" s="2" t="inlineStr"/>
    </row>
    <row r="322" ht="15" customHeight="1">
      <c r="A322" t="inlineStr">
        <is>
          <t>A 64925-2021</t>
        </is>
      </c>
      <c r="B322" s="1" t="n">
        <v>44512.75452546297</v>
      </c>
      <c r="C322" s="1" t="n">
        <v>46035</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ht="15" customHeight="1">
      <c r="A323" t="inlineStr">
        <is>
          <t>A 16409-2022</t>
        </is>
      </c>
      <c r="B323" s="1" t="n">
        <v>44671</v>
      </c>
      <c r="C323" s="1" t="n">
        <v>46035</v>
      </c>
      <c r="D323" t="inlineStr">
        <is>
          <t>DALARNAS LÄN</t>
        </is>
      </c>
      <c r="E323" t="inlineStr">
        <is>
          <t>GAGNEF</t>
        </is>
      </c>
      <c r="G323" t="n">
        <v>0.5</v>
      </c>
      <c r="H323" t="n">
        <v>0</v>
      </c>
      <c r="I323" t="n">
        <v>0</v>
      </c>
      <c r="J323" t="n">
        <v>0</v>
      </c>
      <c r="K323" t="n">
        <v>0</v>
      </c>
      <c r="L323" t="n">
        <v>0</v>
      </c>
      <c r="M323" t="n">
        <v>0</v>
      </c>
      <c r="N323" t="n">
        <v>0</v>
      </c>
      <c r="O323" t="n">
        <v>0</v>
      </c>
      <c r="P323" t="n">
        <v>0</v>
      </c>
      <c r="Q323" t="n">
        <v>0</v>
      </c>
      <c r="R323" s="2" t="inlineStr"/>
    </row>
    <row r="324" ht="15" customHeight="1">
      <c r="A324" t="inlineStr">
        <is>
          <t>A 15670-2024</t>
        </is>
      </c>
      <c r="B324" s="1" t="n">
        <v>45404.39177083333</v>
      </c>
      <c r="C324" s="1" t="n">
        <v>46035</v>
      </c>
      <c r="D324" t="inlineStr">
        <is>
          <t>DALARNAS LÄN</t>
        </is>
      </c>
      <c r="E324" t="inlineStr">
        <is>
          <t>GAGNEF</t>
        </is>
      </c>
      <c r="G324" t="n">
        <v>0.8</v>
      </c>
      <c r="H324" t="n">
        <v>0</v>
      </c>
      <c r="I324" t="n">
        <v>0</v>
      </c>
      <c r="J324" t="n">
        <v>0</v>
      </c>
      <c r="K324" t="n">
        <v>0</v>
      </c>
      <c r="L324" t="n">
        <v>0</v>
      </c>
      <c r="M324" t="n">
        <v>0</v>
      </c>
      <c r="N324" t="n">
        <v>0</v>
      </c>
      <c r="O324" t="n">
        <v>0</v>
      </c>
      <c r="P324" t="n">
        <v>0</v>
      </c>
      <c r="Q324" t="n">
        <v>0</v>
      </c>
      <c r="R324" s="2" t="inlineStr"/>
    </row>
    <row r="325" ht="15" customHeight="1">
      <c r="A325" t="inlineStr">
        <is>
          <t>A 6566-2022</t>
        </is>
      </c>
      <c r="B325" s="1" t="n">
        <v>44601</v>
      </c>
      <c r="C325" s="1" t="n">
        <v>46035</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54875-2023</t>
        </is>
      </c>
      <c r="B326" s="1" t="n">
        <v>45236.61521990741</v>
      </c>
      <c r="C326" s="1" t="n">
        <v>46035</v>
      </c>
      <c r="D326" t="inlineStr">
        <is>
          <t>DALARNAS LÄN</t>
        </is>
      </c>
      <c r="E326" t="inlineStr">
        <is>
          <t>GAGNEF</t>
        </is>
      </c>
      <c r="G326" t="n">
        <v>6.7</v>
      </c>
      <c r="H326" t="n">
        <v>0</v>
      </c>
      <c r="I326" t="n">
        <v>0</v>
      </c>
      <c r="J326" t="n">
        <v>0</v>
      </c>
      <c r="K326" t="n">
        <v>0</v>
      </c>
      <c r="L326" t="n">
        <v>0</v>
      </c>
      <c r="M326" t="n">
        <v>0</v>
      </c>
      <c r="N326" t="n">
        <v>0</v>
      </c>
      <c r="O326" t="n">
        <v>0</v>
      </c>
      <c r="P326" t="n">
        <v>0</v>
      </c>
      <c r="Q326" t="n">
        <v>0</v>
      </c>
      <c r="R326" s="2" t="inlineStr"/>
    </row>
    <row r="327" ht="15" customHeight="1">
      <c r="A327" t="inlineStr">
        <is>
          <t>A 20513-2023</t>
        </is>
      </c>
      <c r="B327" s="1" t="n">
        <v>45057.46729166667</v>
      </c>
      <c r="C327" s="1" t="n">
        <v>46035</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2443-2024</t>
        </is>
      </c>
      <c r="B328" s="1" t="n">
        <v>45311</v>
      </c>
      <c r="C328" s="1" t="n">
        <v>46035</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51138-2022</t>
        </is>
      </c>
      <c r="B329" s="1" t="n">
        <v>44868</v>
      </c>
      <c r="C329" s="1" t="n">
        <v>46035</v>
      </c>
      <c r="D329" t="inlineStr">
        <is>
          <t>DALARNAS LÄN</t>
        </is>
      </c>
      <c r="E329" t="inlineStr">
        <is>
          <t>GAGNEF</t>
        </is>
      </c>
      <c r="G329" t="n">
        <v>0.6</v>
      </c>
      <c r="H329" t="n">
        <v>0</v>
      </c>
      <c r="I329" t="n">
        <v>0</v>
      </c>
      <c r="J329" t="n">
        <v>0</v>
      </c>
      <c r="K329" t="n">
        <v>0</v>
      </c>
      <c r="L329" t="n">
        <v>0</v>
      </c>
      <c r="M329" t="n">
        <v>0</v>
      </c>
      <c r="N329" t="n">
        <v>0</v>
      </c>
      <c r="O329" t="n">
        <v>0</v>
      </c>
      <c r="P329" t="n">
        <v>0</v>
      </c>
      <c r="Q329" t="n">
        <v>0</v>
      </c>
      <c r="R329" s="2" t="inlineStr"/>
    </row>
    <row r="330" ht="15" customHeight="1">
      <c r="A330" t="inlineStr">
        <is>
          <t>A 23489-2024</t>
        </is>
      </c>
      <c r="B330" s="1" t="n">
        <v>45453.68108796296</v>
      </c>
      <c r="C330" s="1" t="n">
        <v>46035</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3642-2025</t>
        </is>
      </c>
      <c r="B331" s="1" t="n">
        <v>45681.39009259259</v>
      </c>
      <c r="C331" s="1" t="n">
        <v>46035</v>
      </c>
      <c r="D331" t="inlineStr">
        <is>
          <t>DALARNAS LÄN</t>
        </is>
      </c>
      <c r="E331" t="inlineStr">
        <is>
          <t>GAGNEF</t>
        </is>
      </c>
      <c r="G331" t="n">
        <v>4.7</v>
      </c>
      <c r="H331" t="n">
        <v>0</v>
      </c>
      <c r="I331" t="n">
        <v>0</v>
      </c>
      <c r="J331" t="n">
        <v>0</v>
      </c>
      <c r="K331" t="n">
        <v>0</v>
      </c>
      <c r="L331" t="n">
        <v>0</v>
      </c>
      <c r="M331" t="n">
        <v>0</v>
      </c>
      <c r="N331" t="n">
        <v>0</v>
      </c>
      <c r="O331" t="n">
        <v>0</v>
      </c>
      <c r="P331" t="n">
        <v>0</v>
      </c>
      <c r="Q331" t="n">
        <v>0</v>
      </c>
      <c r="R331" s="2" t="inlineStr"/>
    </row>
    <row r="332" ht="15" customHeight="1">
      <c r="A332" t="inlineStr">
        <is>
          <t>A 34467-2024</t>
        </is>
      </c>
      <c r="B332" s="1" t="n">
        <v>45525.5819212963</v>
      </c>
      <c r="C332" s="1" t="n">
        <v>46035</v>
      </c>
      <c r="D332" t="inlineStr">
        <is>
          <t>DALARNAS LÄN</t>
        </is>
      </c>
      <c r="E332" t="inlineStr">
        <is>
          <t>GAGNEF</t>
        </is>
      </c>
      <c r="G332" t="n">
        <v>0.8</v>
      </c>
      <c r="H332" t="n">
        <v>0</v>
      </c>
      <c r="I332" t="n">
        <v>0</v>
      </c>
      <c r="J332" t="n">
        <v>0</v>
      </c>
      <c r="K332" t="n">
        <v>0</v>
      </c>
      <c r="L332" t="n">
        <v>0</v>
      </c>
      <c r="M332" t="n">
        <v>0</v>
      </c>
      <c r="N332" t="n">
        <v>0</v>
      </c>
      <c r="O332" t="n">
        <v>0</v>
      </c>
      <c r="P332" t="n">
        <v>0</v>
      </c>
      <c r="Q332" t="n">
        <v>0</v>
      </c>
      <c r="R332" s="2" t="inlineStr"/>
    </row>
    <row r="333" ht="15" customHeight="1">
      <c r="A333" t="inlineStr">
        <is>
          <t>A 52439-2024</t>
        </is>
      </c>
      <c r="B333" s="1" t="n">
        <v>45608</v>
      </c>
      <c r="C333" s="1" t="n">
        <v>46035</v>
      </c>
      <c r="D333" t="inlineStr">
        <is>
          <t>DALARNAS LÄN</t>
        </is>
      </c>
      <c r="E333" t="inlineStr">
        <is>
          <t>GAGNEF</t>
        </is>
      </c>
      <c r="G333" t="n">
        <v>3.1</v>
      </c>
      <c r="H333" t="n">
        <v>0</v>
      </c>
      <c r="I333" t="n">
        <v>0</v>
      </c>
      <c r="J333" t="n">
        <v>0</v>
      </c>
      <c r="K333" t="n">
        <v>0</v>
      </c>
      <c r="L333" t="n">
        <v>0</v>
      </c>
      <c r="M333" t="n">
        <v>0</v>
      </c>
      <c r="N333" t="n">
        <v>0</v>
      </c>
      <c r="O333" t="n">
        <v>0</v>
      </c>
      <c r="P333" t="n">
        <v>0</v>
      </c>
      <c r="Q333" t="n">
        <v>0</v>
      </c>
      <c r="R333" s="2" t="inlineStr"/>
    </row>
    <row r="334" ht="15" customHeight="1">
      <c r="A334" t="inlineStr">
        <is>
          <t>A 55392-2022</t>
        </is>
      </c>
      <c r="B334" s="1" t="n">
        <v>44887</v>
      </c>
      <c r="C334" s="1" t="n">
        <v>46035</v>
      </c>
      <c r="D334" t="inlineStr">
        <is>
          <t>DALARNAS LÄN</t>
        </is>
      </c>
      <c r="E334" t="inlineStr">
        <is>
          <t>GAGNEF</t>
        </is>
      </c>
      <c r="G334" t="n">
        <v>0.4</v>
      </c>
      <c r="H334" t="n">
        <v>0</v>
      </c>
      <c r="I334" t="n">
        <v>0</v>
      </c>
      <c r="J334" t="n">
        <v>0</v>
      </c>
      <c r="K334" t="n">
        <v>0</v>
      </c>
      <c r="L334" t="n">
        <v>0</v>
      </c>
      <c r="M334" t="n">
        <v>0</v>
      </c>
      <c r="N334" t="n">
        <v>0</v>
      </c>
      <c r="O334" t="n">
        <v>0</v>
      </c>
      <c r="P334" t="n">
        <v>0</v>
      </c>
      <c r="Q334" t="n">
        <v>0</v>
      </c>
      <c r="R334" s="2" t="inlineStr"/>
    </row>
    <row r="335" ht="15" customHeight="1">
      <c r="A335" t="inlineStr">
        <is>
          <t>A 326-2024</t>
        </is>
      </c>
      <c r="B335" s="1" t="n">
        <v>45295</v>
      </c>
      <c r="C335" s="1" t="n">
        <v>46035</v>
      </c>
      <c r="D335" t="inlineStr">
        <is>
          <t>DALARNAS LÄN</t>
        </is>
      </c>
      <c r="E335" t="inlineStr">
        <is>
          <t>GAGNEF</t>
        </is>
      </c>
      <c r="G335" t="n">
        <v>9.4</v>
      </c>
      <c r="H335" t="n">
        <v>0</v>
      </c>
      <c r="I335" t="n">
        <v>0</v>
      </c>
      <c r="J335" t="n">
        <v>0</v>
      </c>
      <c r="K335" t="n">
        <v>0</v>
      </c>
      <c r="L335" t="n">
        <v>0</v>
      </c>
      <c r="M335" t="n">
        <v>0</v>
      </c>
      <c r="N335" t="n">
        <v>0</v>
      </c>
      <c r="O335" t="n">
        <v>0</v>
      </c>
      <c r="P335" t="n">
        <v>0</v>
      </c>
      <c r="Q335" t="n">
        <v>0</v>
      </c>
      <c r="R335" s="2" t="inlineStr"/>
    </row>
    <row r="336" ht="15" customHeight="1">
      <c r="A336" t="inlineStr">
        <is>
          <t>A 11680-2022</t>
        </is>
      </c>
      <c r="B336" s="1" t="n">
        <v>44634</v>
      </c>
      <c r="C336" s="1" t="n">
        <v>46035</v>
      </c>
      <c r="D336" t="inlineStr">
        <is>
          <t>DALARNAS LÄN</t>
        </is>
      </c>
      <c r="E336" t="inlineStr">
        <is>
          <t>GAGNEF</t>
        </is>
      </c>
      <c r="G336" t="n">
        <v>7.8</v>
      </c>
      <c r="H336" t="n">
        <v>0</v>
      </c>
      <c r="I336" t="n">
        <v>0</v>
      </c>
      <c r="J336" t="n">
        <v>0</v>
      </c>
      <c r="K336" t="n">
        <v>0</v>
      </c>
      <c r="L336" t="n">
        <v>0</v>
      </c>
      <c r="M336" t="n">
        <v>0</v>
      </c>
      <c r="N336" t="n">
        <v>0</v>
      </c>
      <c r="O336" t="n">
        <v>0</v>
      </c>
      <c r="P336" t="n">
        <v>0</v>
      </c>
      <c r="Q336" t="n">
        <v>0</v>
      </c>
      <c r="R336" s="2" t="inlineStr"/>
    </row>
    <row r="337" ht="15" customHeight="1">
      <c r="A337" t="inlineStr">
        <is>
          <t>A 45521-2024</t>
        </is>
      </c>
      <c r="B337" s="1" t="n">
        <v>45578.71738425926</v>
      </c>
      <c r="C337" s="1" t="n">
        <v>46035</v>
      </c>
      <c r="D337" t="inlineStr">
        <is>
          <t>DALARNAS LÄN</t>
        </is>
      </c>
      <c r="E337" t="inlineStr">
        <is>
          <t>GAGNEF</t>
        </is>
      </c>
      <c r="G337" t="n">
        <v>1.7</v>
      </c>
      <c r="H337" t="n">
        <v>0</v>
      </c>
      <c r="I337" t="n">
        <v>0</v>
      </c>
      <c r="J337" t="n">
        <v>0</v>
      </c>
      <c r="K337" t="n">
        <v>0</v>
      </c>
      <c r="L337" t="n">
        <v>0</v>
      </c>
      <c r="M337" t="n">
        <v>0</v>
      </c>
      <c r="N337" t="n">
        <v>0</v>
      </c>
      <c r="O337" t="n">
        <v>0</v>
      </c>
      <c r="P337" t="n">
        <v>0</v>
      </c>
      <c r="Q337" t="n">
        <v>0</v>
      </c>
      <c r="R337" s="2" t="inlineStr"/>
    </row>
    <row r="338" ht="15" customHeight="1">
      <c r="A338" t="inlineStr">
        <is>
          <t>A 604-2025</t>
        </is>
      </c>
      <c r="B338" s="1" t="n">
        <v>45664</v>
      </c>
      <c r="C338" s="1" t="n">
        <v>46035</v>
      </c>
      <c r="D338" t="inlineStr">
        <is>
          <t>DALARNAS LÄN</t>
        </is>
      </c>
      <c r="E338" t="inlineStr">
        <is>
          <t>GAGNEF</t>
        </is>
      </c>
      <c r="G338" t="n">
        <v>1.1</v>
      </c>
      <c r="H338" t="n">
        <v>0</v>
      </c>
      <c r="I338" t="n">
        <v>0</v>
      </c>
      <c r="J338" t="n">
        <v>0</v>
      </c>
      <c r="K338" t="n">
        <v>0</v>
      </c>
      <c r="L338" t="n">
        <v>0</v>
      </c>
      <c r="M338" t="n">
        <v>0</v>
      </c>
      <c r="N338" t="n">
        <v>0</v>
      </c>
      <c r="O338" t="n">
        <v>0</v>
      </c>
      <c r="P338" t="n">
        <v>0</v>
      </c>
      <c r="Q338" t="n">
        <v>0</v>
      </c>
      <c r="R338" s="2" t="inlineStr"/>
    </row>
    <row r="339" ht="15" customHeight="1">
      <c r="A339" t="inlineStr">
        <is>
          <t>A 36891-2024</t>
        </is>
      </c>
      <c r="B339" s="1" t="n">
        <v>45538.61</v>
      </c>
      <c r="C339" s="1" t="n">
        <v>46035</v>
      </c>
      <c r="D339" t="inlineStr">
        <is>
          <t>DALARNAS LÄN</t>
        </is>
      </c>
      <c r="E339" t="inlineStr">
        <is>
          <t>GAGNEF</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35892-2024</t>
        </is>
      </c>
      <c r="B340" s="1" t="n">
        <v>45533.37692129629</v>
      </c>
      <c r="C340" s="1" t="n">
        <v>46035</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10717-2024</t>
        </is>
      </c>
      <c r="B341" s="1" t="n">
        <v>45369.46217592592</v>
      </c>
      <c r="C341" s="1" t="n">
        <v>46035</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56083-2023</t>
        </is>
      </c>
      <c r="B342" s="1" t="n">
        <v>45240</v>
      </c>
      <c r="C342" s="1" t="n">
        <v>46035</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8006-2025</t>
        </is>
      </c>
      <c r="B343" s="1" t="n">
        <v>45706</v>
      </c>
      <c r="C343" s="1" t="n">
        <v>46035</v>
      </c>
      <c r="D343" t="inlineStr">
        <is>
          <t>DALARNAS LÄN</t>
        </is>
      </c>
      <c r="E343" t="inlineStr">
        <is>
          <t>GAGNEF</t>
        </is>
      </c>
      <c r="G343" t="n">
        <v>2.1</v>
      </c>
      <c r="H343" t="n">
        <v>0</v>
      </c>
      <c r="I343" t="n">
        <v>0</v>
      </c>
      <c r="J343" t="n">
        <v>0</v>
      </c>
      <c r="K343" t="n">
        <v>0</v>
      </c>
      <c r="L343" t="n">
        <v>0</v>
      </c>
      <c r="M343" t="n">
        <v>0</v>
      </c>
      <c r="N343" t="n">
        <v>0</v>
      </c>
      <c r="O343" t="n">
        <v>0</v>
      </c>
      <c r="P343" t="n">
        <v>0</v>
      </c>
      <c r="Q343" t="n">
        <v>0</v>
      </c>
      <c r="R343" s="2" t="inlineStr"/>
    </row>
    <row r="344" ht="15" customHeight="1">
      <c r="A344" t="inlineStr">
        <is>
          <t>A 9616-2024</t>
        </is>
      </c>
      <c r="B344" s="1" t="n">
        <v>45361</v>
      </c>
      <c r="C344" s="1" t="n">
        <v>46035</v>
      </c>
      <c r="D344" t="inlineStr">
        <is>
          <t>DALARNAS LÄN</t>
        </is>
      </c>
      <c r="E344" t="inlineStr">
        <is>
          <t>GAGNEF</t>
        </is>
      </c>
      <c r="G344" t="n">
        <v>0.6</v>
      </c>
      <c r="H344" t="n">
        <v>0</v>
      </c>
      <c r="I344" t="n">
        <v>0</v>
      </c>
      <c r="J344" t="n">
        <v>0</v>
      </c>
      <c r="K344" t="n">
        <v>0</v>
      </c>
      <c r="L344" t="n">
        <v>0</v>
      </c>
      <c r="M344" t="n">
        <v>0</v>
      </c>
      <c r="N344" t="n">
        <v>0</v>
      </c>
      <c r="O344" t="n">
        <v>0</v>
      </c>
      <c r="P344" t="n">
        <v>0</v>
      </c>
      <c r="Q344" t="n">
        <v>0</v>
      </c>
      <c r="R344" s="2" t="inlineStr"/>
    </row>
    <row r="345" ht="15" customHeight="1">
      <c r="A345" t="inlineStr">
        <is>
          <t>A 57729-2022</t>
        </is>
      </c>
      <c r="B345" s="1" t="n">
        <v>44897</v>
      </c>
      <c r="C345" s="1" t="n">
        <v>46035</v>
      </c>
      <c r="D345" t="inlineStr">
        <is>
          <t>DALARNAS LÄN</t>
        </is>
      </c>
      <c r="E345" t="inlineStr">
        <is>
          <t>GAGNEF</t>
        </is>
      </c>
      <c r="G345" t="n">
        <v>0.9</v>
      </c>
      <c r="H345" t="n">
        <v>0</v>
      </c>
      <c r="I345" t="n">
        <v>0</v>
      </c>
      <c r="J345" t="n">
        <v>0</v>
      </c>
      <c r="K345" t="n">
        <v>0</v>
      </c>
      <c r="L345" t="n">
        <v>0</v>
      </c>
      <c r="M345" t="n">
        <v>0</v>
      </c>
      <c r="N345" t="n">
        <v>0</v>
      </c>
      <c r="O345" t="n">
        <v>0</v>
      </c>
      <c r="P345" t="n">
        <v>0</v>
      </c>
      <c r="Q345" t="n">
        <v>0</v>
      </c>
      <c r="R345" s="2" t="inlineStr"/>
    </row>
    <row r="346" ht="15" customHeight="1">
      <c r="A346" t="inlineStr">
        <is>
          <t>A 51151-2023</t>
        </is>
      </c>
      <c r="B346" s="1" t="n">
        <v>45219</v>
      </c>
      <c r="C346" s="1" t="n">
        <v>46035</v>
      </c>
      <c r="D346" t="inlineStr">
        <is>
          <t>DALARNAS LÄN</t>
        </is>
      </c>
      <c r="E346" t="inlineStr">
        <is>
          <t>GAGNEF</t>
        </is>
      </c>
      <c r="G346" t="n">
        <v>3.1</v>
      </c>
      <c r="H346" t="n">
        <v>0</v>
      </c>
      <c r="I346" t="n">
        <v>0</v>
      </c>
      <c r="J346" t="n">
        <v>0</v>
      </c>
      <c r="K346" t="n">
        <v>0</v>
      </c>
      <c r="L346" t="n">
        <v>0</v>
      </c>
      <c r="M346" t="n">
        <v>0</v>
      </c>
      <c r="N346" t="n">
        <v>0</v>
      </c>
      <c r="O346" t="n">
        <v>0</v>
      </c>
      <c r="P346" t="n">
        <v>0</v>
      </c>
      <c r="Q346" t="n">
        <v>0</v>
      </c>
      <c r="R346" s="2" t="inlineStr"/>
    </row>
    <row r="347" ht="15" customHeight="1">
      <c r="A347" t="inlineStr">
        <is>
          <t>A 36011-2023</t>
        </is>
      </c>
      <c r="B347" s="1" t="n">
        <v>45148</v>
      </c>
      <c r="C347" s="1" t="n">
        <v>46035</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23654-2023</t>
        </is>
      </c>
      <c r="B348" s="1" t="n">
        <v>45077</v>
      </c>
      <c r="C348" s="1" t="n">
        <v>46035</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3411-2025</t>
        </is>
      </c>
      <c r="B349" s="1" t="n">
        <v>45680.39591435185</v>
      </c>
      <c r="C349" s="1" t="n">
        <v>46035</v>
      </c>
      <c r="D349" t="inlineStr">
        <is>
          <t>DALARNAS LÄN</t>
        </is>
      </c>
      <c r="E349" t="inlineStr">
        <is>
          <t>GAGNEF</t>
        </is>
      </c>
      <c r="G349" t="n">
        <v>5.3</v>
      </c>
      <c r="H349" t="n">
        <v>0</v>
      </c>
      <c r="I349" t="n">
        <v>0</v>
      </c>
      <c r="J349" t="n">
        <v>0</v>
      </c>
      <c r="K349" t="n">
        <v>0</v>
      </c>
      <c r="L349" t="n">
        <v>0</v>
      </c>
      <c r="M349" t="n">
        <v>0</v>
      </c>
      <c r="N349" t="n">
        <v>0</v>
      </c>
      <c r="O349" t="n">
        <v>0</v>
      </c>
      <c r="P349" t="n">
        <v>0</v>
      </c>
      <c r="Q349" t="n">
        <v>0</v>
      </c>
      <c r="R349" s="2" t="inlineStr"/>
    </row>
    <row r="350" ht="15" customHeight="1">
      <c r="A350" t="inlineStr">
        <is>
          <t>A 28307-2022</t>
        </is>
      </c>
      <c r="B350" s="1" t="n">
        <v>44747</v>
      </c>
      <c r="C350" s="1" t="n">
        <v>46035</v>
      </c>
      <c r="D350" t="inlineStr">
        <is>
          <t>DALARNAS LÄN</t>
        </is>
      </c>
      <c r="E350" t="inlineStr">
        <is>
          <t>GAGNEF</t>
        </is>
      </c>
      <c r="G350" t="n">
        <v>2.7</v>
      </c>
      <c r="H350" t="n">
        <v>0</v>
      </c>
      <c r="I350" t="n">
        <v>0</v>
      </c>
      <c r="J350" t="n">
        <v>0</v>
      </c>
      <c r="K350" t="n">
        <v>0</v>
      </c>
      <c r="L350" t="n">
        <v>0</v>
      </c>
      <c r="M350" t="n">
        <v>0</v>
      </c>
      <c r="N350" t="n">
        <v>0</v>
      </c>
      <c r="O350" t="n">
        <v>0</v>
      </c>
      <c r="P350" t="n">
        <v>0</v>
      </c>
      <c r="Q350" t="n">
        <v>0</v>
      </c>
      <c r="R350" s="2" t="inlineStr"/>
    </row>
    <row r="351" ht="15" customHeight="1">
      <c r="A351" t="inlineStr">
        <is>
          <t>A 38444-2024</t>
        </is>
      </c>
      <c r="B351" s="1" t="n">
        <v>45546.42988425926</v>
      </c>
      <c r="C351" s="1" t="n">
        <v>46035</v>
      </c>
      <c r="D351" t="inlineStr">
        <is>
          <t>DALARNAS LÄN</t>
        </is>
      </c>
      <c r="E351" t="inlineStr">
        <is>
          <t>GAGNEF</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c r="A352" t="inlineStr">
        <is>
          <t>A 56807-2023</t>
        </is>
      </c>
      <c r="B352" s="1" t="n">
        <v>45244</v>
      </c>
      <c r="C352" s="1" t="n">
        <v>46035</v>
      </c>
      <c r="D352" t="inlineStr">
        <is>
          <t>DALARNAS LÄN</t>
        </is>
      </c>
      <c r="E352" t="inlineStr">
        <is>
          <t>GAGNEF</t>
        </is>
      </c>
      <c r="G352" t="n">
        <v>10.9</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2026-01-13T10:53:52Z</dcterms:created>
  <dcterms:modified xmlns:dcterms="http://purl.org/dc/terms/" xmlns:xsi="http://www.w3.org/2001/XMLSchema-instance" xsi:type="dcterms:W3CDTF">2026-01-13T10:53:52Z</dcterms:modified>
</cp:coreProperties>
</file>