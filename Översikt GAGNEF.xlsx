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46060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46060</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46060</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46060</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46060</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46060</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46060</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52436-2024</t>
        </is>
      </c>
      <c r="B13" s="1" t="n">
        <v>45608</v>
      </c>
      <c r="C13" s="1" t="n">
        <v>46060</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46060</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46060</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46060</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46060</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47815-2024</t>
        </is>
      </c>
      <c r="B18" s="1" t="n">
        <v>45588.62069444444</v>
      </c>
      <c r="C18" s="1" t="n">
        <v>46060</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46060</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46060</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46060</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46060</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64510-2021</t>
        </is>
      </c>
      <c r="B23" s="1" t="n">
        <v>44511</v>
      </c>
      <c r="C23" s="1" t="n">
        <v>46060</v>
      </c>
      <c r="D23" t="inlineStr">
        <is>
          <t>DALARNAS LÄN</t>
        </is>
      </c>
      <c r="E23" t="inlineStr">
        <is>
          <t>GAGNEF</t>
        </is>
      </c>
      <c r="G23" t="n">
        <v>2.7</v>
      </c>
      <c r="H23" t="n">
        <v>0</v>
      </c>
      <c r="I23" t="n">
        <v>0</v>
      </c>
      <c r="J23" t="n">
        <v>1</v>
      </c>
      <c r="K23" t="n">
        <v>0</v>
      </c>
      <c r="L23" t="n">
        <v>0</v>
      </c>
      <c r="M23" t="n">
        <v>0</v>
      </c>
      <c r="N23" t="n">
        <v>0</v>
      </c>
      <c r="O23" t="n">
        <v>1</v>
      </c>
      <c r="P23" t="n">
        <v>0</v>
      </c>
      <c r="Q23" t="n">
        <v>1</v>
      </c>
      <c r="R23" s="2" t="inlineStr">
        <is>
          <t>Grönhjon</t>
        </is>
      </c>
      <c r="S23">
        <f>HYPERLINK("https://klasma.github.io/Logging_2026/artfynd/A 64510-2021 artfynd.xlsx", "A 64510-2021")</f>
        <v/>
      </c>
      <c r="T23">
        <f>HYPERLINK("https://klasma.github.io/Logging_2026/kartor/A 64510-2021 karta.png", "A 64510-2021")</f>
        <v/>
      </c>
      <c r="V23">
        <f>HYPERLINK("https://klasma.github.io/Logging_2026/klagomål/A 64510-2021 FSC-klagomål.docx", "A 64510-2021")</f>
        <v/>
      </c>
      <c r="W23">
        <f>HYPERLINK("https://klasma.github.io/Logging_2026/klagomålsmail/A 64510-2021 FSC-klagomål mail.docx", "A 64510-2021")</f>
        <v/>
      </c>
      <c r="X23">
        <f>HYPERLINK("https://klasma.github.io/Logging_2026/tillsyn/A 64510-2021 tillsynsbegäran.docx", "A 64510-2021")</f>
        <v/>
      </c>
      <c r="Y23">
        <f>HYPERLINK("https://klasma.github.io/Logging_2026/tillsynsmail/A 64510-2021 tillsynsbegäran mail.docx", "A 64510-2021")</f>
        <v/>
      </c>
    </row>
    <row r="24" ht="15" customHeight="1">
      <c r="A24" t="inlineStr">
        <is>
          <t>A 36510-2025</t>
        </is>
      </c>
      <c r="B24" s="1" t="n">
        <v>45869</v>
      </c>
      <c r="C24" s="1" t="n">
        <v>46060</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676-2026</t>
        </is>
      </c>
      <c r="B25" s="1" t="n">
        <v>46029.59697916666</v>
      </c>
      <c r="C25" s="1" t="n">
        <v>46060</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46060</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46060</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61787-2024</t>
        </is>
      </c>
      <c r="B28" s="1" t="n">
        <v>45649.48122685185</v>
      </c>
      <c r="C28" s="1" t="n">
        <v>46060</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46060</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46060</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46060</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46060</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46060</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46060</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46060</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46060</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46060</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46060</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8876-2021</t>
        </is>
      </c>
      <c r="B39" s="1" t="n">
        <v>44247</v>
      </c>
      <c r="C39" s="1" t="n">
        <v>46060</v>
      </c>
      <c r="D39" t="inlineStr">
        <is>
          <t>DALARNAS LÄN</t>
        </is>
      </c>
      <c r="E39" t="inlineStr">
        <is>
          <t>GAGNEF</t>
        </is>
      </c>
      <c r="G39" t="n">
        <v>1.6</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46060</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46060</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46060</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46060</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46060</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46060</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46060</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46060</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46060</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46060</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46060</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46060</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46060</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46060</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46060</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46060</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46060</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46060</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46060</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46060</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46060</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46060</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46060</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46060</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46060</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46060</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46060</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46060</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46060</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46060</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46060</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46060</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46060</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46060</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34853-2024</t>
        </is>
      </c>
      <c r="B74" s="1" t="n">
        <v>45527.32375</v>
      </c>
      <c r="C74" s="1" t="n">
        <v>46060</v>
      </c>
      <c r="D74" t="inlineStr">
        <is>
          <t>DALARNAS LÄN</t>
        </is>
      </c>
      <c r="E74" t="inlineStr">
        <is>
          <t>GAGNEF</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46060</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20513-2023</t>
        </is>
      </c>
      <c r="B76" s="1" t="n">
        <v>45057.46729166667</v>
      </c>
      <c r="C76" s="1" t="n">
        <v>46060</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46060</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46060</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15686-2024</t>
        </is>
      </c>
      <c r="B79" s="1" t="n">
        <v>45404.4404050926</v>
      </c>
      <c r="C79" s="1" t="n">
        <v>46060</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46060</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26622-2023</t>
        </is>
      </c>
      <c r="B81" s="1" t="n">
        <v>45092.70679398148</v>
      </c>
      <c r="C81" s="1" t="n">
        <v>46060</v>
      </c>
      <c r="D81" t="inlineStr">
        <is>
          <t>DALARNAS LÄN</t>
        </is>
      </c>
      <c r="E81" t="inlineStr">
        <is>
          <t>GAGNEF</t>
        </is>
      </c>
      <c r="F81" t="inlineStr">
        <is>
          <t>Bergvik skog väst AB</t>
        </is>
      </c>
      <c r="G81" t="n">
        <v>10.5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46060</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56083-2023</t>
        </is>
      </c>
      <c r="B83" s="1" t="n">
        <v>45240</v>
      </c>
      <c r="C83" s="1" t="n">
        <v>46060</v>
      </c>
      <c r="D83" t="inlineStr">
        <is>
          <t>DALARNAS LÄN</t>
        </is>
      </c>
      <c r="E83" t="inlineStr">
        <is>
          <t>GAGNEF</t>
        </is>
      </c>
      <c r="G83" t="n">
        <v>0.8</v>
      </c>
      <c r="H83" t="n">
        <v>0</v>
      </c>
      <c r="I83" t="n">
        <v>0</v>
      </c>
      <c r="J83" t="n">
        <v>0</v>
      </c>
      <c r="K83" t="n">
        <v>0</v>
      </c>
      <c r="L83" t="n">
        <v>0</v>
      </c>
      <c r="M83" t="n">
        <v>0</v>
      </c>
      <c r="N83" t="n">
        <v>0</v>
      </c>
      <c r="O83" t="n">
        <v>0</v>
      </c>
      <c r="P83" t="n">
        <v>0</v>
      </c>
      <c r="Q83" t="n">
        <v>0</v>
      </c>
      <c r="R83" s="2" t="inlineStr"/>
    </row>
    <row r="84" ht="15" customHeight="1">
      <c r="A84" t="inlineStr">
        <is>
          <t>A 4374-2024</t>
        </is>
      </c>
      <c r="B84" s="1" t="n">
        <v>45326.73876157407</v>
      </c>
      <c r="C84" s="1" t="n">
        <v>46060</v>
      </c>
      <c r="D84" t="inlineStr">
        <is>
          <t>DALARNAS LÄN</t>
        </is>
      </c>
      <c r="E84" t="inlineStr">
        <is>
          <t>GAGNEF</t>
        </is>
      </c>
      <c r="G84" t="n">
        <v>3.5</v>
      </c>
      <c r="H84" t="n">
        <v>0</v>
      </c>
      <c r="I84" t="n">
        <v>0</v>
      </c>
      <c r="J84" t="n">
        <v>0</v>
      </c>
      <c r="K84" t="n">
        <v>0</v>
      </c>
      <c r="L84" t="n">
        <v>0</v>
      </c>
      <c r="M84" t="n">
        <v>0</v>
      </c>
      <c r="N84" t="n">
        <v>0</v>
      </c>
      <c r="O84" t="n">
        <v>0</v>
      </c>
      <c r="P84" t="n">
        <v>0</v>
      </c>
      <c r="Q84" t="n">
        <v>0</v>
      </c>
      <c r="R84" s="2" t="inlineStr"/>
    </row>
    <row r="85" ht="15" customHeight="1">
      <c r="A85" t="inlineStr">
        <is>
          <t>A 61872-2024</t>
        </is>
      </c>
      <c r="B85" s="1" t="n">
        <v>45651.86974537037</v>
      </c>
      <c r="C85" s="1" t="n">
        <v>46060</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11680-2022</t>
        </is>
      </c>
      <c r="B86" s="1" t="n">
        <v>44634</v>
      </c>
      <c r="C86" s="1" t="n">
        <v>46060</v>
      </c>
      <c r="D86" t="inlineStr">
        <is>
          <t>DALARNAS LÄN</t>
        </is>
      </c>
      <c r="E86" t="inlineStr">
        <is>
          <t>GAGNEF</t>
        </is>
      </c>
      <c r="G86" t="n">
        <v>7.8</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46060</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46060</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15629-2022</t>
        </is>
      </c>
      <c r="B89" s="1" t="n">
        <v>44662.77332175926</v>
      </c>
      <c r="C89" s="1" t="n">
        <v>46060</v>
      </c>
      <c r="D89" t="inlineStr">
        <is>
          <t>DALARNAS LÄN</t>
        </is>
      </c>
      <c r="E89" t="inlineStr">
        <is>
          <t>GAGNEF</t>
        </is>
      </c>
      <c r="G89" t="n">
        <v>2.8</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46060</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15685-2024</t>
        </is>
      </c>
      <c r="B91" s="1" t="n">
        <v>45404.44038194444</v>
      </c>
      <c r="C91" s="1" t="n">
        <v>46060</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8006-2025</t>
        </is>
      </c>
      <c r="B92" s="1" t="n">
        <v>45706</v>
      </c>
      <c r="C92" s="1" t="n">
        <v>46060</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20482-2024</t>
        </is>
      </c>
      <c r="B93" s="1" t="n">
        <v>45435.72424768518</v>
      </c>
      <c r="C93" s="1" t="n">
        <v>46060</v>
      </c>
      <c r="D93" t="inlineStr">
        <is>
          <t>DALARNAS LÄN</t>
        </is>
      </c>
      <c r="E93" t="inlineStr">
        <is>
          <t>GAGNEF</t>
        </is>
      </c>
      <c r="G93" t="n">
        <v>0.8</v>
      </c>
      <c r="H93" t="n">
        <v>0</v>
      </c>
      <c r="I93" t="n">
        <v>0</v>
      </c>
      <c r="J93" t="n">
        <v>0</v>
      </c>
      <c r="K93" t="n">
        <v>0</v>
      </c>
      <c r="L93" t="n">
        <v>0</v>
      </c>
      <c r="M93" t="n">
        <v>0</v>
      </c>
      <c r="N93" t="n">
        <v>0</v>
      </c>
      <c r="O93" t="n">
        <v>0</v>
      </c>
      <c r="P93" t="n">
        <v>0</v>
      </c>
      <c r="Q93" t="n">
        <v>0</v>
      </c>
      <c r="R93" s="2" t="inlineStr"/>
    </row>
    <row r="94" ht="15" customHeight="1">
      <c r="A94" t="inlineStr">
        <is>
          <t>A 51151-2023</t>
        </is>
      </c>
      <c r="B94" s="1" t="n">
        <v>45219</v>
      </c>
      <c r="C94" s="1" t="n">
        <v>46060</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17321-2024</t>
        </is>
      </c>
      <c r="B95" s="1" t="n">
        <v>45414.53782407408</v>
      </c>
      <c r="C95" s="1" t="n">
        <v>46060</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46060</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5519-2025</t>
        </is>
      </c>
      <c r="B97" s="1" t="n">
        <v>45693.40930555556</v>
      </c>
      <c r="C97" s="1" t="n">
        <v>46060</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50536-2024</t>
        </is>
      </c>
      <c r="B98" s="1" t="n">
        <v>45601.56956018518</v>
      </c>
      <c r="C98" s="1" t="n">
        <v>46060</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19346-2025</t>
        </is>
      </c>
      <c r="B99" s="1" t="n">
        <v>45769.60106481481</v>
      </c>
      <c r="C99" s="1" t="n">
        <v>46060</v>
      </c>
      <c r="D99" t="inlineStr">
        <is>
          <t>DALARNAS LÄN</t>
        </is>
      </c>
      <c r="E99" t="inlineStr">
        <is>
          <t>GAGNEF</t>
        </is>
      </c>
      <c r="G99" t="n">
        <v>4.1</v>
      </c>
      <c r="H99" t="n">
        <v>0</v>
      </c>
      <c r="I99" t="n">
        <v>0</v>
      </c>
      <c r="J99" t="n">
        <v>0</v>
      </c>
      <c r="K99" t="n">
        <v>0</v>
      </c>
      <c r="L99" t="n">
        <v>0</v>
      </c>
      <c r="M99" t="n">
        <v>0</v>
      </c>
      <c r="N99" t="n">
        <v>0</v>
      </c>
      <c r="O99" t="n">
        <v>0</v>
      </c>
      <c r="P99" t="n">
        <v>0</v>
      </c>
      <c r="Q99" t="n">
        <v>0</v>
      </c>
      <c r="R99" s="2" t="inlineStr"/>
    </row>
    <row r="100" ht="15" customHeight="1">
      <c r="A100" t="inlineStr">
        <is>
          <t>A 43916-2024</t>
        </is>
      </c>
      <c r="B100" s="1" t="n">
        <v>45572.43674768518</v>
      </c>
      <c r="C100" s="1" t="n">
        <v>46060</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26369-2025</t>
        </is>
      </c>
      <c r="B101" s="1" t="n">
        <v>45806.39133101852</v>
      </c>
      <c r="C101" s="1" t="n">
        <v>46060</v>
      </c>
      <c r="D101" t="inlineStr">
        <is>
          <t>DALARNAS LÄN</t>
        </is>
      </c>
      <c r="E101" t="inlineStr">
        <is>
          <t>GAGNEF</t>
        </is>
      </c>
      <c r="G101" t="n">
        <v>12.9</v>
      </c>
      <c r="H101" t="n">
        <v>0</v>
      </c>
      <c r="I101" t="n">
        <v>0</v>
      </c>
      <c r="J101" t="n">
        <v>0</v>
      </c>
      <c r="K101" t="n">
        <v>0</v>
      </c>
      <c r="L101" t="n">
        <v>0</v>
      </c>
      <c r="M101" t="n">
        <v>0</v>
      </c>
      <c r="N101" t="n">
        <v>0</v>
      </c>
      <c r="O101" t="n">
        <v>0</v>
      </c>
      <c r="P101" t="n">
        <v>0</v>
      </c>
      <c r="Q101" t="n">
        <v>0</v>
      </c>
      <c r="R101" s="2" t="inlineStr"/>
    </row>
    <row r="102" ht="15" customHeight="1">
      <c r="A102" t="inlineStr">
        <is>
          <t>A 47956-2024</t>
        </is>
      </c>
      <c r="B102" s="1" t="n">
        <v>45589.37105324074</v>
      </c>
      <c r="C102" s="1" t="n">
        <v>46060</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27387-2025</t>
        </is>
      </c>
      <c r="B103" s="1" t="n">
        <v>45812</v>
      </c>
      <c r="C103" s="1" t="n">
        <v>46060</v>
      </c>
      <c r="D103" t="inlineStr">
        <is>
          <t>DALARNAS LÄN</t>
        </is>
      </c>
      <c r="E103" t="inlineStr">
        <is>
          <t>GAGNEF</t>
        </is>
      </c>
      <c r="G103" t="n">
        <v>4.4</v>
      </c>
      <c r="H103" t="n">
        <v>0</v>
      </c>
      <c r="I103" t="n">
        <v>0</v>
      </c>
      <c r="J103" t="n">
        <v>0</v>
      </c>
      <c r="K103" t="n">
        <v>0</v>
      </c>
      <c r="L103" t="n">
        <v>0</v>
      </c>
      <c r="M103" t="n">
        <v>0</v>
      </c>
      <c r="N103" t="n">
        <v>0</v>
      </c>
      <c r="O103" t="n">
        <v>0</v>
      </c>
      <c r="P103" t="n">
        <v>0</v>
      </c>
      <c r="Q103" t="n">
        <v>0</v>
      </c>
      <c r="R103" s="2" t="inlineStr"/>
    </row>
    <row r="104" ht="15" customHeight="1">
      <c r="A104" t="inlineStr">
        <is>
          <t>A 4375-2024</t>
        </is>
      </c>
      <c r="B104" s="1" t="n">
        <v>45326.74480324074</v>
      </c>
      <c r="C104" s="1" t="n">
        <v>46060</v>
      </c>
      <c r="D104" t="inlineStr">
        <is>
          <t>DALARNAS LÄN</t>
        </is>
      </c>
      <c r="E104" t="inlineStr">
        <is>
          <t>GAGNEF</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13169-2025</t>
        </is>
      </c>
      <c r="B105" s="1" t="n">
        <v>45735.36532407408</v>
      </c>
      <c r="C105" s="1" t="n">
        <v>46060</v>
      </c>
      <c r="D105" t="inlineStr">
        <is>
          <t>DALARNAS LÄN</t>
        </is>
      </c>
      <c r="E105" t="inlineStr">
        <is>
          <t>GAGNEF</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46060</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27889-2025</t>
        </is>
      </c>
      <c r="B107" s="1" t="n">
        <v>45817</v>
      </c>
      <c r="C107" s="1" t="n">
        <v>46060</v>
      </c>
      <c r="D107" t="inlineStr">
        <is>
          <t>DALARNAS LÄN</t>
        </is>
      </c>
      <c r="E107" t="inlineStr">
        <is>
          <t>GAGNEF</t>
        </is>
      </c>
      <c r="G107" t="n">
        <v>3.2</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46060</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16388-2022</t>
        </is>
      </c>
      <c r="B109" s="1" t="n">
        <v>44671</v>
      </c>
      <c r="C109" s="1" t="n">
        <v>46060</v>
      </c>
      <c r="D109" t="inlineStr">
        <is>
          <t>DALARNAS LÄN</t>
        </is>
      </c>
      <c r="E109" t="inlineStr">
        <is>
          <t>GAGNEF</t>
        </is>
      </c>
      <c r="G109" t="n">
        <v>1.1</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46060</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46060</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16118-2023</t>
        </is>
      </c>
      <c r="B112" s="1" t="n">
        <v>45027</v>
      </c>
      <c r="C112" s="1" t="n">
        <v>46060</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3816-2025</t>
        </is>
      </c>
      <c r="B113" s="1" t="n">
        <v>45681.69211805556</v>
      </c>
      <c r="C113" s="1" t="n">
        <v>46060</v>
      </c>
      <c r="D113" t="inlineStr">
        <is>
          <t>DALARNAS LÄN</t>
        </is>
      </c>
      <c r="E113" t="inlineStr">
        <is>
          <t>GAGNEF</t>
        </is>
      </c>
      <c r="G113" t="n">
        <v>6.1</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46060</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46060</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46060</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46060</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46060</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46060</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35892-2024</t>
        </is>
      </c>
      <c r="B120" s="1" t="n">
        <v>45533.37692129629</v>
      </c>
      <c r="C120" s="1" t="n">
        <v>46060</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43631-2025</t>
        </is>
      </c>
      <c r="B121" s="1" t="n">
        <v>45911.70527777778</v>
      </c>
      <c r="C121" s="1" t="n">
        <v>46060</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43564-2025</t>
        </is>
      </c>
      <c r="B122" s="1" t="n">
        <v>45911</v>
      </c>
      <c r="C122" s="1" t="n">
        <v>46060</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30668-2024</t>
        </is>
      </c>
      <c r="B123" s="1" t="n">
        <v>45495.71056712963</v>
      </c>
      <c r="C123" s="1" t="n">
        <v>46060</v>
      </c>
      <c r="D123" t="inlineStr">
        <is>
          <t>DALARNAS LÄN</t>
        </is>
      </c>
      <c r="E123" t="inlineStr">
        <is>
          <t>GAGNEF</t>
        </is>
      </c>
      <c r="G123" t="n">
        <v>2</v>
      </c>
      <c r="H123" t="n">
        <v>0</v>
      </c>
      <c r="I123" t="n">
        <v>0</v>
      </c>
      <c r="J123" t="n">
        <v>0</v>
      </c>
      <c r="K123" t="n">
        <v>0</v>
      </c>
      <c r="L123" t="n">
        <v>0</v>
      </c>
      <c r="M123" t="n">
        <v>0</v>
      </c>
      <c r="N123" t="n">
        <v>0</v>
      </c>
      <c r="O123" t="n">
        <v>0</v>
      </c>
      <c r="P123" t="n">
        <v>0</v>
      </c>
      <c r="Q123" t="n">
        <v>0</v>
      </c>
      <c r="R123" s="2" t="inlineStr"/>
    </row>
    <row r="124" ht="15" customHeight="1">
      <c r="A124" t="inlineStr">
        <is>
          <t>A 29848-2025</t>
        </is>
      </c>
      <c r="B124" s="1" t="n">
        <v>45826</v>
      </c>
      <c r="C124" s="1" t="n">
        <v>46060</v>
      </c>
      <c r="D124" t="inlineStr">
        <is>
          <t>DALARNAS LÄN</t>
        </is>
      </c>
      <c r="E124" t="inlineStr">
        <is>
          <t>GAGNEF</t>
        </is>
      </c>
      <c r="G124" t="n">
        <v>4.1</v>
      </c>
      <c r="H124" t="n">
        <v>0</v>
      </c>
      <c r="I124" t="n">
        <v>0</v>
      </c>
      <c r="J124" t="n">
        <v>0</v>
      </c>
      <c r="K124" t="n">
        <v>0</v>
      </c>
      <c r="L124" t="n">
        <v>0</v>
      </c>
      <c r="M124" t="n">
        <v>0</v>
      </c>
      <c r="N124" t="n">
        <v>0</v>
      </c>
      <c r="O124" t="n">
        <v>0</v>
      </c>
      <c r="P124" t="n">
        <v>0</v>
      </c>
      <c r="Q124" t="n">
        <v>0</v>
      </c>
      <c r="R124" s="2" t="inlineStr"/>
    </row>
    <row r="125" ht="15" customHeight="1">
      <c r="A125" t="inlineStr">
        <is>
          <t>A 43633-2025</t>
        </is>
      </c>
      <c r="B125" s="1" t="n">
        <v>45911.70615740741</v>
      </c>
      <c r="C125" s="1" t="n">
        <v>46060</v>
      </c>
      <c r="D125" t="inlineStr">
        <is>
          <t>DALARNAS LÄN</t>
        </is>
      </c>
      <c r="E125" t="inlineStr">
        <is>
          <t>GAGNEF</t>
        </is>
      </c>
      <c r="G125" t="n">
        <v>3.4</v>
      </c>
      <c r="H125" t="n">
        <v>0</v>
      </c>
      <c r="I125" t="n">
        <v>0</v>
      </c>
      <c r="J125" t="n">
        <v>0</v>
      </c>
      <c r="K125" t="n">
        <v>0</v>
      </c>
      <c r="L125" t="n">
        <v>0</v>
      </c>
      <c r="M125" t="n">
        <v>0</v>
      </c>
      <c r="N125" t="n">
        <v>0</v>
      </c>
      <c r="O125" t="n">
        <v>0</v>
      </c>
      <c r="P125" t="n">
        <v>0</v>
      </c>
      <c r="Q125" t="n">
        <v>0</v>
      </c>
      <c r="R125" s="2" t="inlineStr"/>
    </row>
    <row r="126" ht="15" customHeight="1">
      <c r="A126" t="inlineStr">
        <is>
          <t>A 43457-2025</t>
        </is>
      </c>
      <c r="B126" s="1" t="n">
        <v>45911</v>
      </c>
      <c r="C126" s="1" t="n">
        <v>46060</v>
      </c>
      <c r="D126" t="inlineStr">
        <is>
          <t>DALARNAS LÄN</t>
        </is>
      </c>
      <c r="E126" t="inlineStr">
        <is>
          <t>GAGNEF</t>
        </is>
      </c>
      <c r="F126" t="inlineStr">
        <is>
          <t>Bergvik skog väst AB</t>
        </is>
      </c>
      <c r="G126" t="n">
        <v>6.5</v>
      </c>
      <c r="H126" t="n">
        <v>0</v>
      </c>
      <c r="I126" t="n">
        <v>0</v>
      </c>
      <c r="J126" t="n">
        <v>0</v>
      </c>
      <c r="K126" t="n">
        <v>0</v>
      </c>
      <c r="L126" t="n">
        <v>0</v>
      </c>
      <c r="M126" t="n">
        <v>0</v>
      </c>
      <c r="N126" t="n">
        <v>0</v>
      </c>
      <c r="O126" t="n">
        <v>0</v>
      </c>
      <c r="P126" t="n">
        <v>0</v>
      </c>
      <c r="Q126" t="n">
        <v>0</v>
      </c>
      <c r="R126" s="2" t="inlineStr"/>
    </row>
    <row r="127" ht="15" customHeight="1">
      <c r="A127" t="inlineStr">
        <is>
          <t>A 41366-2023</t>
        </is>
      </c>
      <c r="B127" s="1" t="n">
        <v>45174.84822916667</v>
      </c>
      <c r="C127" s="1" t="n">
        <v>46060</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30098-2025</t>
        </is>
      </c>
      <c r="B128" s="1" t="n">
        <v>45826.67533564815</v>
      </c>
      <c r="C128" s="1" t="n">
        <v>46060</v>
      </c>
      <c r="D128" t="inlineStr">
        <is>
          <t>DALARNAS LÄN</t>
        </is>
      </c>
      <c r="E128" t="inlineStr">
        <is>
          <t>GAGNEF</t>
        </is>
      </c>
      <c r="G128" t="n">
        <v>0.5</v>
      </c>
      <c r="H128" t="n">
        <v>0</v>
      </c>
      <c r="I128" t="n">
        <v>0</v>
      </c>
      <c r="J128" t="n">
        <v>0</v>
      </c>
      <c r="K128" t="n">
        <v>0</v>
      </c>
      <c r="L128" t="n">
        <v>0</v>
      </c>
      <c r="M128" t="n">
        <v>0</v>
      </c>
      <c r="N128" t="n">
        <v>0</v>
      </c>
      <c r="O128" t="n">
        <v>0</v>
      </c>
      <c r="P128" t="n">
        <v>0</v>
      </c>
      <c r="Q128" t="n">
        <v>0</v>
      </c>
      <c r="R128" s="2" t="inlineStr"/>
    </row>
    <row r="129" ht="15" customHeight="1">
      <c r="A129" t="inlineStr">
        <is>
          <t>A 43706-2025</t>
        </is>
      </c>
      <c r="B129" s="1" t="n">
        <v>45912.40556712963</v>
      </c>
      <c r="C129" s="1" t="n">
        <v>46060</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43713-2025</t>
        </is>
      </c>
      <c r="B130" s="1" t="n">
        <v>45912.40796296296</v>
      </c>
      <c r="C130" s="1" t="n">
        <v>46060</v>
      </c>
      <c r="D130" t="inlineStr">
        <is>
          <t>DALARNAS LÄN</t>
        </is>
      </c>
      <c r="E130" t="inlineStr">
        <is>
          <t>GAGNEF</t>
        </is>
      </c>
      <c r="G130" t="n">
        <v>1.2</v>
      </c>
      <c r="H130" t="n">
        <v>0</v>
      </c>
      <c r="I130" t="n">
        <v>0</v>
      </c>
      <c r="J130" t="n">
        <v>0</v>
      </c>
      <c r="K130" t="n">
        <v>0</v>
      </c>
      <c r="L130" t="n">
        <v>0</v>
      </c>
      <c r="M130" t="n">
        <v>0</v>
      </c>
      <c r="N130" t="n">
        <v>0</v>
      </c>
      <c r="O130" t="n">
        <v>0</v>
      </c>
      <c r="P130" t="n">
        <v>0</v>
      </c>
      <c r="Q130" t="n">
        <v>0</v>
      </c>
      <c r="R130" s="2" t="inlineStr"/>
    </row>
    <row r="131" ht="15" customHeight="1">
      <c r="A131" t="inlineStr">
        <is>
          <t>A 2017-2025</t>
        </is>
      </c>
      <c r="B131" s="1" t="n">
        <v>45672</v>
      </c>
      <c r="C131" s="1" t="n">
        <v>46060</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44587-2025</t>
        </is>
      </c>
      <c r="B132" s="1" t="n">
        <v>45917</v>
      </c>
      <c r="C132" s="1" t="n">
        <v>46060</v>
      </c>
      <c r="D132" t="inlineStr">
        <is>
          <t>DALARNAS LÄN</t>
        </is>
      </c>
      <c r="E132" t="inlineStr">
        <is>
          <t>GAGNEF</t>
        </is>
      </c>
      <c r="F132" t="inlineStr">
        <is>
          <t>Bergvik skog väst AB</t>
        </is>
      </c>
      <c r="G132" t="n">
        <v>10.3</v>
      </c>
      <c r="H132" t="n">
        <v>0</v>
      </c>
      <c r="I132" t="n">
        <v>0</v>
      </c>
      <c r="J132" t="n">
        <v>0</v>
      </c>
      <c r="K132" t="n">
        <v>0</v>
      </c>
      <c r="L132" t="n">
        <v>0</v>
      </c>
      <c r="M132" t="n">
        <v>0</v>
      </c>
      <c r="N132" t="n">
        <v>0</v>
      </c>
      <c r="O132" t="n">
        <v>0</v>
      </c>
      <c r="P132" t="n">
        <v>0</v>
      </c>
      <c r="Q132" t="n">
        <v>0</v>
      </c>
      <c r="R132" s="2" t="inlineStr"/>
    </row>
    <row r="133" ht="15" customHeight="1">
      <c r="A133" t="inlineStr">
        <is>
          <t>A 44380-2025</t>
        </is>
      </c>
      <c r="B133" s="1" t="n">
        <v>45916.48267361111</v>
      </c>
      <c r="C133" s="1" t="n">
        <v>46060</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64987-2023</t>
        </is>
      </c>
      <c r="B134" s="1" t="n">
        <v>45285</v>
      </c>
      <c r="C134" s="1" t="n">
        <v>46060</v>
      </c>
      <c r="D134" t="inlineStr">
        <is>
          <t>DALARNAS LÄN</t>
        </is>
      </c>
      <c r="E134" t="inlineStr">
        <is>
          <t>GAGNEF</t>
        </is>
      </c>
      <c r="G134" t="n">
        <v>6.2</v>
      </c>
      <c r="H134" t="n">
        <v>0</v>
      </c>
      <c r="I134" t="n">
        <v>0</v>
      </c>
      <c r="J134" t="n">
        <v>0</v>
      </c>
      <c r="K134" t="n">
        <v>0</v>
      </c>
      <c r="L134" t="n">
        <v>0</v>
      </c>
      <c r="M134" t="n">
        <v>0</v>
      </c>
      <c r="N134" t="n">
        <v>0</v>
      </c>
      <c r="O134" t="n">
        <v>0</v>
      </c>
      <c r="P134" t="n">
        <v>0</v>
      </c>
      <c r="Q134" t="n">
        <v>0</v>
      </c>
      <c r="R134" s="2" t="inlineStr"/>
    </row>
    <row r="135" ht="15" customHeight="1">
      <c r="A135" t="inlineStr">
        <is>
          <t>A 45057-2025</t>
        </is>
      </c>
      <c r="B135" s="1" t="n">
        <v>45919.34008101852</v>
      </c>
      <c r="C135" s="1" t="n">
        <v>46060</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7340-2024</t>
        </is>
      </c>
      <c r="B136" s="1" t="n">
        <v>45345.44857638889</v>
      </c>
      <c r="C136" s="1" t="n">
        <v>46060</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44836-2025</t>
        </is>
      </c>
      <c r="B137" s="1" t="n">
        <v>45918.41756944444</v>
      </c>
      <c r="C137" s="1" t="n">
        <v>46060</v>
      </c>
      <c r="D137" t="inlineStr">
        <is>
          <t>DALARNAS LÄN</t>
        </is>
      </c>
      <c r="E137" t="inlineStr">
        <is>
          <t>GAGNEF</t>
        </is>
      </c>
      <c r="G137" t="n">
        <v>2.4</v>
      </c>
      <c r="H137" t="n">
        <v>0</v>
      </c>
      <c r="I137" t="n">
        <v>0</v>
      </c>
      <c r="J137" t="n">
        <v>0</v>
      </c>
      <c r="K137" t="n">
        <v>0</v>
      </c>
      <c r="L137" t="n">
        <v>0</v>
      </c>
      <c r="M137" t="n">
        <v>0</v>
      </c>
      <c r="N137" t="n">
        <v>0</v>
      </c>
      <c r="O137" t="n">
        <v>0</v>
      </c>
      <c r="P137" t="n">
        <v>0</v>
      </c>
      <c r="Q137" t="n">
        <v>0</v>
      </c>
      <c r="R137" s="2" t="inlineStr"/>
    </row>
    <row r="138" ht="15" customHeight="1">
      <c r="A138" t="inlineStr">
        <is>
          <t>A 16858-2025</t>
        </is>
      </c>
      <c r="B138" s="1" t="n">
        <v>45751</v>
      </c>
      <c r="C138" s="1" t="n">
        <v>46060</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45497-2025</t>
        </is>
      </c>
      <c r="B139" s="1" t="n">
        <v>45922.56707175926</v>
      </c>
      <c r="C139" s="1" t="n">
        <v>46060</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3411-2025</t>
        </is>
      </c>
      <c r="B140" s="1" t="n">
        <v>45680.39591435185</v>
      </c>
      <c r="C140" s="1" t="n">
        <v>46060</v>
      </c>
      <c r="D140" t="inlineStr">
        <is>
          <t>DALARNAS LÄN</t>
        </is>
      </c>
      <c r="E140" t="inlineStr">
        <is>
          <t>GAGNEF</t>
        </is>
      </c>
      <c r="G140" t="n">
        <v>5.3</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46060</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52439-2024</t>
        </is>
      </c>
      <c r="B142" s="1" t="n">
        <v>45608</v>
      </c>
      <c r="C142" s="1" t="n">
        <v>46060</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46060</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1918-2025</t>
        </is>
      </c>
      <c r="B144" s="1" t="n">
        <v>45671.66840277778</v>
      </c>
      <c r="C144" s="1" t="n">
        <v>46060</v>
      </c>
      <c r="D144" t="inlineStr">
        <is>
          <t>DALARNAS LÄN</t>
        </is>
      </c>
      <c r="E144" t="inlineStr">
        <is>
          <t>GAGNEF</t>
        </is>
      </c>
      <c r="G144" t="n">
        <v>6.8</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46060</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30667-2024</t>
        </is>
      </c>
      <c r="B146" s="1" t="n">
        <v>45495.70825231481</v>
      </c>
      <c r="C146" s="1" t="n">
        <v>46060</v>
      </c>
      <c r="D146" t="inlineStr">
        <is>
          <t>DALARNAS LÄN</t>
        </is>
      </c>
      <c r="E146" t="inlineStr">
        <is>
          <t>GAGNEF</t>
        </is>
      </c>
      <c r="G146" t="n">
        <v>2</v>
      </c>
      <c r="H146" t="n">
        <v>0</v>
      </c>
      <c r="I146" t="n">
        <v>0</v>
      </c>
      <c r="J146" t="n">
        <v>0</v>
      </c>
      <c r="K146" t="n">
        <v>0</v>
      </c>
      <c r="L146" t="n">
        <v>0</v>
      </c>
      <c r="M146" t="n">
        <v>0</v>
      </c>
      <c r="N146" t="n">
        <v>0</v>
      </c>
      <c r="O146" t="n">
        <v>0</v>
      </c>
      <c r="P146" t="n">
        <v>0</v>
      </c>
      <c r="Q146" t="n">
        <v>0</v>
      </c>
      <c r="R146" s="2" t="inlineStr"/>
    </row>
    <row r="147" ht="15" customHeight="1">
      <c r="A147" t="inlineStr">
        <is>
          <t>A 42715-2024</t>
        </is>
      </c>
      <c r="B147" s="1" t="n">
        <v>45566.45429398148</v>
      </c>
      <c r="C147" s="1" t="n">
        <v>46060</v>
      </c>
      <c r="D147" t="inlineStr">
        <is>
          <t>DALARNAS LÄN</t>
        </is>
      </c>
      <c r="E147" t="inlineStr">
        <is>
          <t>GAGNEF</t>
        </is>
      </c>
      <c r="G147" t="n">
        <v>1</v>
      </c>
      <c r="H147" t="n">
        <v>0</v>
      </c>
      <c r="I147" t="n">
        <v>0</v>
      </c>
      <c r="J147" t="n">
        <v>0</v>
      </c>
      <c r="K147" t="n">
        <v>0</v>
      </c>
      <c r="L147" t="n">
        <v>0</v>
      </c>
      <c r="M147" t="n">
        <v>0</v>
      </c>
      <c r="N147" t="n">
        <v>0</v>
      </c>
      <c r="O147" t="n">
        <v>0</v>
      </c>
      <c r="P147" t="n">
        <v>0</v>
      </c>
      <c r="Q147" t="n">
        <v>0</v>
      </c>
      <c r="R147" s="2" t="inlineStr"/>
    </row>
    <row r="148" ht="15" customHeight="1">
      <c r="A148" t="inlineStr">
        <is>
          <t>A 7601-2024</t>
        </is>
      </c>
      <c r="B148" s="1" t="n">
        <v>45348.55956018518</v>
      </c>
      <c r="C148" s="1" t="n">
        <v>46060</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47554-2025</t>
        </is>
      </c>
      <c r="B149" s="1" t="n">
        <v>45931.37412037037</v>
      </c>
      <c r="C149" s="1" t="n">
        <v>46060</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47560-2025</t>
        </is>
      </c>
      <c r="B150" s="1" t="n">
        <v>45931.38627314815</v>
      </c>
      <c r="C150" s="1" t="n">
        <v>46060</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47685-2025</t>
        </is>
      </c>
      <c r="B151" s="1" t="n">
        <v>45931.58986111111</v>
      </c>
      <c r="C151" s="1" t="n">
        <v>46060</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47295-2025</t>
        </is>
      </c>
      <c r="B152" s="1" t="n">
        <v>45930.49263888889</v>
      </c>
      <c r="C152" s="1" t="n">
        <v>46060</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47669-2025</t>
        </is>
      </c>
      <c r="B153" s="1" t="n">
        <v>45931.57208333333</v>
      </c>
      <c r="C153" s="1" t="n">
        <v>46060</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47470-2025</t>
        </is>
      </c>
      <c r="B154" s="1" t="n">
        <v>45930.67282407408</v>
      </c>
      <c r="C154" s="1" t="n">
        <v>46060</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47285-2025</t>
        </is>
      </c>
      <c r="B155" s="1" t="n">
        <v>45930.48280092593</v>
      </c>
      <c r="C155" s="1" t="n">
        <v>46060</v>
      </c>
      <c r="D155" t="inlineStr">
        <is>
          <t>DALARNAS LÄN</t>
        </is>
      </c>
      <c r="E155" t="inlineStr">
        <is>
          <t>GAGNEF</t>
        </is>
      </c>
      <c r="G155" t="n">
        <v>7.8</v>
      </c>
      <c r="H155" t="n">
        <v>0</v>
      </c>
      <c r="I155" t="n">
        <v>0</v>
      </c>
      <c r="J155" t="n">
        <v>0</v>
      </c>
      <c r="K155" t="n">
        <v>0</v>
      </c>
      <c r="L155" t="n">
        <v>0</v>
      </c>
      <c r="M155" t="n">
        <v>0</v>
      </c>
      <c r="N155" t="n">
        <v>0</v>
      </c>
      <c r="O155" t="n">
        <v>0</v>
      </c>
      <c r="P155" t="n">
        <v>0</v>
      </c>
      <c r="Q155" t="n">
        <v>0</v>
      </c>
      <c r="R155" s="2" t="inlineStr"/>
    </row>
    <row r="156" ht="15" customHeight="1">
      <c r="A156" t="inlineStr">
        <is>
          <t>A 51251-2023</t>
        </is>
      </c>
      <c r="B156" s="1" t="n">
        <v>45219.48548611111</v>
      </c>
      <c r="C156" s="1" t="n">
        <v>46060</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51287-2023</t>
        </is>
      </c>
      <c r="B157" s="1" t="n">
        <v>45219</v>
      </c>
      <c r="C157" s="1" t="n">
        <v>46060</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46060</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45110-2025</t>
        </is>
      </c>
      <c r="B159" s="1" t="n">
        <v>45919</v>
      </c>
      <c r="C159" s="1" t="n">
        <v>46060</v>
      </c>
      <c r="D159" t="inlineStr">
        <is>
          <t>DALARNAS LÄN</t>
        </is>
      </c>
      <c r="E159" t="inlineStr">
        <is>
          <t>GAGNEF</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33050-2025</t>
        </is>
      </c>
      <c r="B160" s="1" t="n">
        <v>45840</v>
      </c>
      <c r="C160" s="1" t="n">
        <v>46060</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1479-2025</t>
        </is>
      </c>
      <c r="B161" s="1" t="n">
        <v>45670</v>
      </c>
      <c r="C161" s="1" t="n">
        <v>46060</v>
      </c>
      <c r="D161" t="inlineStr">
        <is>
          <t>DALARNAS LÄN</t>
        </is>
      </c>
      <c r="E161" t="inlineStr">
        <is>
          <t>GAGNEF</t>
        </is>
      </c>
      <c r="G161" t="n">
        <v>5.5</v>
      </c>
      <c r="H161" t="n">
        <v>0</v>
      </c>
      <c r="I161" t="n">
        <v>0</v>
      </c>
      <c r="J161" t="n">
        <v>0</v>
      </c>
      <c r="K161" t="n">
        <v>0</v>
      </c>
      <c r="L161" t="n">
        <v>0</v>
      </c>
      <c r="M161" t="n">
        <v>0</v>
      </c>
      <c r="N161" t="n">
        <v>0</v>
      </c>
      <c r="O161" t="n">
        <v>0</v>
      </c>
      <c r="P161" t="n">
        <v>0</v>
      </c>
      <c r="Q161" t="n">
        <v>0</v>
      </c>
      <c r="R161" s="2" t="inlineStr"/>
    </row>
    <row r="162" ht="15" customHeight="1">
      <c r="A162" t="inlineStr">
        <is>
          <t>A 1481-2025</t>
        </is>
      </c>
      <c r="B162" s="1" t="n">
        <v>45670</v>
      </c>
      <c r="C162" s="1" t="n">
        <v>46060</v>
      </c>
      <c r="D162" t="inlineStr">
        <is>
          <t>DALARNAS LÄN</t>
        </is>
      </c>
      <c r="E162" t="inlineStr">
        <is>
          <t>GAGNEF</t>
        </is>
      </c>
      <c r="G162" t="n">
        <v>0.6</v>
      </c>
      <c r="H162" t="n">
        <v>0</v>
      </c>
      <c r="I162" t="n">
        <v>0</v>
      </c>
      <c r="J162" t="n">
        <v>0</v>
      </c>
      <c r="K162" t="n">
        <v>0</v>
      </c>
      <c r="L162" t="n">
        <v>0</v>
      </c>
      <c r="M162" t="n">
        <v>0</v>
      </c>
      <c r="N162" t="n">
        <v>0</v>
      </c>
      <c r="O162" t="n">
        <v>0</v>
      </c>
      <c r="P162" t="n">
        <v>0</v>
      </c>
      <c r="Q162" t="n">
        <v>0</v>
      </c>
      <c r="R162" s="2" t="inlineStr"/>
    </row>
    <row r="163" ht="15" customHeight="1">
      <c r="A163" t="inlineStr">
        <is>
          <t>A 6795-2024</t>
        </is>
      </c>
      <c r="B163" s="1" t="n">
        <v>45342.56087962963</v>
      </c>
      <c r="C163" s="1" t="n">
        <v>46060</v>
      </c>
      <c r="D163" t="inlineStr">
        <is>
          <t>DALARNAS LÄN</t>
        </is>
      </c>
      <c r="E163" t="inlineStr">
        <is>
          <t>GAGNEF</t>
        </is>
      </c>
      <c r="G163" t="n">
        <v>3.6</v>
      </c>
      <c r="H163" t="n">
        <v>0</v>
      </c>
      <c r="I163" t="n">
        <v>0</v>
      </c>
      <c r="J163" t="n">
        <v>0</v>
      </c>
      <c r="K163" t="n">
        <v>0</v>
      </c>
      <c r="L163" t="n">
        <v>0</v>
      </c>
      <c r="M163" t="n">
        <v>0</v>
      </c>
      <c r="N163" t="n">
        <v>0</v>
      </c>
      <c r="O163" t="n">
        <v>0</v>
      </c>
      <c r="P163" t="n">
        <v>0</v>
      </c>
      <c r="Q163" t="n">
        <v>0</v>
      </c>
      <c r="R163" s="2" t="inlineStr"/>
    </row>
    <row r="164" ht="15" customHeight="1">
      <c r="A164" t="inlineStr">
        <is>
          <t>A 49226-2025</t>
        </is>
      </c>
      <c r="B164" s="1" t="n">
        <v>45938.46777777778</v>
      </c>
      <c r="C164" s="1" t="n">
        <v>46060</v>
      </c>
      <c r="D164" t="inlineStr">
        <is>
          <t>DALARNAS LÄN</t>
        </is>
      </c>
      <c r="E164" t="inlineStr">
        <is>
          <t>GAGNEF</t>
        </is>
      </c>
      <c r="G164" t="n">
        <v>1.4</v>
      </c>
      <c r="H164" t="n">
        <v>0</v>
      </c>
      <c r="I164" t="n">
        <v>0</v>
      </c>
      <c r="J164" t="n">
        <v>0</v>
      </c>
      <c r="K164" t="n">
        <v>0</v>
      </c>
      <c r="L164" t="n">
        <v>0</v>
      </c>
      <c r="M164" t="n">
        <v>0</v>
      </c>
      <c r="N164" t="n">
        <v>0</v>
      </c>
      <c r="O164" t="n">
        <v>0</v>
      </c>
      <c r="P164" t="n">
        <v>0</v>
      </c>
      <c r="Q164" t="n">
        <v>0</v>
      </c>
      <c r="R164" s="2" t="inlineStr"/>
    </row>
    <row r="165" ht="15" customHeight="1">
      <c r="A165" t="inlineStr">
        <is>
          <t>A 49229-2025</t>
        </is>
      </c>
      <c r="B165" s="1" t="n">
        <v>45938.46975694445</v>
      </c>
      <c r="C165" s="1" t="n">
        <v>46060</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48957-2025</t>
        </is>
      </c>
      <c r="B166" s="1" t="n">
        <v>45937.55002314815</v>
      </c>
      <c r="C166" s="1" t="n">
        <v>46060</v>
      </c>
      <c r="D166" t="inlineStr">
        <is>
          <t>DALARNAS LÄN</t>
        </is>
      </c>
      <c r="E166" t="inlineStr">
        <is>
          <t>GAGNEF</t>
        </is>
      </c>
      <c r="G166" t="n">
        <v>18</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46060</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47054-2025</t>
        </is>
      </c>
      <c r="B168" s="1" t="n">
        <v>45929</v>
      </c>
      <c r="C168" s="1" t="n">
        <v>46060</v>
      </c>
      <c r="D168" t="inlineStr">
        <is>
          <t>DALARNAS LÄN</t>
        </is>
      </c>
      <c r="E168" t="inlineStr">
        <is>
          <t>GAGNEF</t>
        </is>
      </c>
      <c r="F168" t="inlineStr">
        <is>
          <t>Bergvik skog väst AB</t>
        </is>
      </c>
      <c r="G168" t="n">
        <v>17.1</v>
      </c>
      <c r="H168" t="n">
        <v>0</v>
      </c>
      <c r="I168" t="n">
        <v>0</v>
      </c>
      <c r="J168" t="n">
        <v>0</v>
      </c>
      <c r="K168" t="n">
        <v>0</v>
      </c>
      <c r="L168" t="n">
        <v>0</v>
      </c>
      <c r="M168" t="n">
        <v>0</v>
      </c>
      <c r="N168" t="n">
        <v>0</v>
      </c>
      <c r="O168" t="n">
        <v>0</v>
      </c>
      <c r="P168" t="n">
        <v>0</v>
      </c>
      <c r="Q168" t="n">
        <v>0</v>
      </c>
      <c r="R168" s="2" t="inlineStr"/>
    </row>
    <row r="169" ht="15" customHeight="1">
      <c r="A169" t="inlineStr">
        <is>
          <t>A 45961-2025</t>
        </is>
      </c>
      <c r="B169" s="1" t="n">
        <v>45924</v>
      </c>
      <c r="C169" s="1" t="n">
        <v>46060</v>
      </c>
      <c r="D169" t="inlineStr">
        <is>
          <t>DALARNAS LÄN</t>
        </is>
      </c>
      <c r="E169" t="inlineStr">
        <is>
          <t>GAGNEF</t>
        </is>
      </c>
      <c r="F169" t="inlineStr">
        <is>
          <t>Bergvik skog väst AB</t>
        </is>
      </c>
      <c r="G169" t="n">
        <v>3.2</v>
      </c>
      <c r="H169" t="n">
        <v>0</v>
      </c>
      <c r="I169" t="n">
        <v>0</v>
      </c>
      <c r="J169" t="n">
        <v>0</v>
      </c>
      <c r="K169" t="n">
        <v>0</v>
      </c>
      <c r="L169" t="n">
        <v>0</v>
      </c>
      <c r="M169" t="n">
        <v>0</v>
      </c>
      <c r="N169" t="n">
        <v>0</v>
      </c>
      <c r="O169" t="n">
        <v>0</v>
      </c>
      <c r="P169" t="n">
        <v>0</v>
      </c>
      <c r="Q169" t="n">
        <v>0</v>
      </c>
      <c r="R169" s="2" t="inlineStr"/>
    </row>
    <row r="170" ht="15" customHeight="1">
      <c r="A170" t="inlineStr">
        <is>
          <t>A 49762-2025</t>
        </is>
      </c>
      <c r="B170" s="1" t="n">
        <v>45940.3487962963</v>
      </c>
      <c r="C170" s="1" t="n">
        <v>46060</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44149-2023</t>
        </is>
      </c>
      <c r="B171" s="1" t="n">
        <v>45188.47653935185</v>
      </c>
      <c r="C171" s="1" t="n">
        <v>46060</v>
      </c>
      <c r="D171" t="inlineStr">
        <is>
          <t>DALARNAS LÄN</t>
        </is>
      </c>
      <c r="E171" t="inlineStr">
        <is>
          <t>GAGNEF</t>
        </is>
      </c>
      <c r="G171" t="n">
        <v>1.7</v>
      </c>
      <c r="H171" t="n">
        <v>0</v>
      </c>
      <c r="I171" t="n">
        <v>0</v>
      </c>
      <c r="J171" t="n">
        <v>0</v>
      </c>
      <c r="K171" t="n">
        <v>0</v>
      </c>
      <c r="L171" t="n">
        <v>0</v>
      </c>
      <c r="M171" t="n">
        <v>0</v>
      </c>
      <c r="N171" t="n">
        <v>0</v>
      </c>
      <c r="O171" t="n">
        <v>0</v>
      </c>
      <c r="P171" t="n">
        <v>0</v>
      </c>
      <c r="Q171" t="n">
        <v>0</v>
      </c>
      <c r="R171" s="2" t="inlineStr"/>
    </row>
    <row r="172" ht="15" customHeight="1">
      <c r="A172" t="inlineStr">
        <is>
          <t>A 52432-2024</t>
        </is>
      </c>
      <c r="B172" s="1" t="n">
        <v>45608</v>
      </c>
      <c r="C172" s="1" t="n">
        <v>46060</v>
      </c>
      <c r="D172" t="inlineStr">
        <is>
          <t>DALARNAS LÄN</t>
        </is>
      </c>
      <c r="E172" t="inlineStr">
        <is>
          <t>GAGNEF</t>
        </is>
      </c>
      <c r="G172" t="n">
        <v>1.6</v>
      </c>
      <c r="H172" t="n">
        <v>0</v>
      </c>
      <c r="I172" t="n">
        <v>0</v>
      </c>
      <c r="J172" t="n">
        <v>0</v>
      </c>
      <c r="K172" t="n">
        <v>0</v>
      </c>
      <c r="L172" t="n">
        <v>0</v>
      </c>
      <c r="M172" t="n">
        <v>0</v>
      </c>
      <c r="N172" t="n">
        <v>0</v>
      </c>
      <c r="O172" t="n">
        <v>0</v>
      </c>
      <c r="P172" t="n">
        <v>0</v>
      </c>
      <c r="Q172" t="n">
        <v>0</v>
      </c>
      <c r="R172" s="2" t="inlineStr"/>
    </row>
    <row r="173" ht="15" customHeight="1">
      <c r="A173" t="inlineStr">
        <is>
          <t>A 49961-2025</t>
        </is>
      </c>
      <c r="B173" s="1" t="n">
        <v>45941.37351851852</v>
      </c>
      <c r="C173" s="1" t="n">
        <v>46060</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49962-2025</t>
        </is>
      </c>
      <c r="B174" s="1" t="n">
        <v>45941.37846064815</v>
      </c>
      <c r="C174" s="1" t="n">
        <v>46060</v>
      </c>
      <c r="D174" t="inlineStr">
        <is>
          <t>DALARNAS LÄN</t>
        </is>
      </c>
      <c r="E174" t="inlineStr">
        <is>
          <t>GAGNEF</t>
        </is>
      </c>
      <c r="G174" t="n">
        <v>2.8</v>
      </c>
      <c r="H174" t="n">
        <v>0</v>
      </c>
      <c r="I174" t="n">
        <v>0</v>
      </c>
      <c r="J174" t="n">
        <v>0</v>
      </c>
      <c r="K174" t="n">
        <v>0</v>
      </c>
      <c r="L174" t="n">
        <v>0</v>
      </c>
      <c r="M174" t="n">
        <v>0</v>
      </c>
      <c r="N174" t="n">
        <v>0</v>
      </c>
      <c r="O174" t="n">
        <v>0</v>
      </c>
      <c r="P174" t="n">
        <v>0</v>
      </c>
      <c r="Q174" t="n">
        <v>0</v>
      </c>
      <c r="R174" s="2" t="inlineStr"/>
    </row>
    <row r="175" ht="15" customHeight="1">
      <c r="A175" t="inlineStr">
        <is>
          <t>A 44546-2024</t>
        </is>
      </c>
      <c r="B175" s="1" t="n">
        <v>45574</v>
      </c>
      <c r="C175" s="1" t="n">
        <v>46060</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34313-2025</t>
        </is>
      </c>
      <c r="B176" s="1" t="n">
        <v>45846.39778935185</v>
      </c>
      <c r="C176" s="1" t="n">
        <v>46060</v>
      </c>
      <c r="D176" t="inlineStr">
        <is>
          <t>DALARNAS LÄN</t>
        </is>
      </c>
      <c r="E176" t="inlineStr">
        <is>
          <t>GAGNEF</t>
        </is>
      </c>
      <c r="G176" t="n">
        <v>3.1</v>
      </c>
      <c r="H176" t="n">
        <v>0</v>
      </c>
      <c r="I176" t="n">
        <v>0</v>
      </c>
      <c r="J176" t="n">
        <v>0</v>
      </c>
      <c r="K176" t="n">
        <v>0</v>
      </c>
      <c r="L176" t="n">
        <v>0</v>
      </c>
      <c r="M176" t="n">
        <v>0</v>
      </c>
      <c r="N176" t="n">
        <v>0</v>
      </c>
      <c r="O176" t="n">
        <v>0</v>
      </c>
      <c r="P176" t="n">
        <v>0</v>
      </c>
      <c r="Q176" t="n">
        <v>0</v>
      </c>
      <c r="R176" s="2" t="inlineStr"/>
    </row>
    <row r="177" ht="15" customHeight="1">
      <c r="A177" t="inlineStr">
        <is>
          <t>A 34424-2025</t>
        </is>
      </c>
      <c r="B177" s="1" t="n">
        <v>45846.66884259259</v>
      </c>
      <c r="C177" s="1" t="n">
        <v>46060</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16192-2022</t>
        </is>
      </c>
      <c r="B178" s="1" t="n">
        <v>44669</v>
      </c>
      <c r="C178" s="1" t="n">
        <v>46060</v>
      </c>
      <c r="D178" t="inlineStr">
        <is>
          <t>DALARNAS LÄN</t>
        </is>
      </c>
      <c r="E178" t="inlineStr">
        <is>
          <t>GAGNEF</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34429-2025</t>
        </is>
      </c>
      <c r="B179" s="1" t="n">
        <v>45846.67357638889</v>
      </c>
      <c r="C179" s="1" t="n">
        <v>46060</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34288-2025</t>
        </is>
      </c>
      <c r="B180" s="1" t="n">
        <v>45846.33273148148</v>
      </c>
      <c r="C180" s="1" t="n">
        <v>46060</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34421-2025</t>
        </is>
      </c>
      <c r="B181" s="1" t="n">
        <v>45846.66545138889</v>
      </c>
      <c r="C181" s="1" t="n">
        <v>46060</v>
      </c>
      <c r="D181" t="inlineStr">
        <is>
          <t>DALARNAS LÄN</t>
        </is>
      </c>
      <c r="E181" t="inlineStr">
        <is>
          <t>GAGNEF</t>
        </is>
      </c>
      <c r="G181" t="n">
        <v>2.6</v>
      </c>
      <c r="H181" t="n">
        <v>0</v>
      </c>
      <c r="I181" t="n">
        <v>0</v>
      </c>
      <c r="J181" t="n">
        <v>0</v>
      </c>
      <c r="K181" t="n">
        <v>0</v>
      </c>
      <c r="L181" t="n">
        <v>0</v>
      </c>
      <c r="M181" t="n">
        <v>0</v>
      </c>
      <c r="N181" t="n">
        <v>0</v>
      </c>
      <c r="O181" t="n">
        <v>0</v>
      </c>
      <c r="P181" t="n">
        <v>0</v>
      </c>
      <c r="Q181" t="n">
        <v>0</v>
      </c>
      <c r="R181" s="2" t="inlineStr"/>
    </row>
    <row r="182" ht="15" customHeight="1">
      <c r="A182" t="inlineStr">
        <is>
          <t>A 34436-2025</t>
        </is>
      </c>
      <c r="B182" s="1" t="n">
        <v>45846.68407407407</v>
      </c>
      <c r="C182" s="1" t="n">
        <v>46060</v>
      </c>
      <c r="D182" t="inlineStr">
        <is>
          <t>DALARNAS LÄN</t>
        </is>
      </c>
      <c r="E182" t="inlineStr">
        <is>
          <t>GAGNEF</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50754-2025</t>
        </is>
      </c>
      <c r="B183" s="1" t="n">
        <v>45946.40530092592</v>
      </c>
      <c r="C183" s="1" t="n">
        <v>46060</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34943-2025</t>
        </is>
      </c>
      <c r="B184" s="1" t="n">
        <v>45849</v>
      </c>
      <c r="C184" s="1" t="n">
        <v>46060</v>
      </c>
      <c r="D184" t="inlineStr">
        <is>
          <t>DALARNAS LÄN</t>
        </is>
      </c>
      <c r="E184" t="inlineStr">
        <is>
          <t>GAGNEF</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34793-2025</t>
        </is>
      </c>
      <c r="B185" s="1" t="n">
        <v>45848.73045138889</v>
      </c>
      <c r="C185" s="1" t="n">
        <v>46060</v>
      </c>
      <c r="D185" t="inlineStr">
        <is>
          <t>DALARNAS LÄN</t>
        </is>
      </c>
      <c r="E185" t="inlineStr">
        <is>
          <t>GAGNEF</t>
        </is>
      </c>
      <c r="G185" t="n">
        <v>1.5</v>
      </c>
      <c r="H185" t="n">
        <v>0</v>
      </c>
      <c r="I185" t="n">
        <v>0</v>
      </c>
      <c r="J185" t="n">
        <v>0</v>
      </c>
      <c r="K185" t="n">
        <v>0</v>
      </c>
      <c r="L185" t="n">
        <v>0</v>
      </c>
      <c r="M185" t="n">
        <v>0</v>
      </c>
      <c r="N185" t="n">
        <v>0</v>
      </c>
      <c r="O185" t="n">
        <v>0</v>
      </c>
      <c r="P185" t="n">
        <v>0</v>
      </c>
      <c r="Q185" t="n">
        <v>0</v>
      </c>
      <c r="R185" s="2" t="inlineStr"/>
    </row>
    <row r="186" ht="15" customHeight="1">
      <c r="A186" t="inlineStr">
        <is>
          <t>A 28591-2024</t>
        </is>
      </c>
      <c r="B186" s="1" t="n">
        <v>45478.41777777778</v>
      </c>
      <c r="C186" s="1" t="n">
        <v>46060</v>
      </c>
      <c r="D186" t="inlineStr">
        <is>
          <t>DALARNAS LÄN</t>
        </is>
      </c>
      <c r="E186" t="inlineStr">
        <is>
          <t>GAGNEF</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40409-2022</t>
        </is>
      </c>
      <c r="B187" s="1" t="n">
        <v>44823.45168981481</v>
      </c>
      <c r="C187" s="1" t="n">
        <v>46060</v>
      </c>
      <c r="D187" t="inlineStr">
        <is>
          <t>DALARNAS LÄN</t>
        </is>
      </c>
      <c r="E187" t="inlineStr">
        <is>
          <t>GAGNEF</t>
        </is>
      </c>
      <c r="G187" t="n">
        <v>3</v>
      </c>
      <c r="H187" t="n">
        <v>0</v>
      </c>
      <c r="I187" t="n">
        <v>0</v>
      </c>
      <c r="J187" t="n">
        <v>0</v>
      </c>
      <c r="K187" t="n">
        <v>0</v>
      </c>
      <c r="L187" t="n">
        <v>0</v>
      </c>
      <c r="M187" t="n">
        <v>0</v>
      </c>
      <c r="N187" t="n">
        <v>0</v>
      </c>
      <c r="O187" t="n">
        <v>0</v>
      </c>
      <c r="P187" t="n">
        <v>0</v>
      </c>
      <c r="Q187" t="n">
        <v>0</v>
      </c>
      <c r="R187" s="2" t="inlineStr"/>
    </row>
    <row r="188" ht="15" customHeight="1">
      <c r="A188" t="inlineStr">
        <is>
          <t>A 10744-2022</t>
        </is>
      </c>
      <c r="B188" s="1" t="n">
        <v>44627</v>
      </c>
      <c r="C188" s="1" t="n">
        <v>46060</v>
      </c>
      <c r="D188" t="inlineStr">
        <is>
          <t>DALARNAS LÄN</t>
        </is>
      </c>
      <c r="E188" t="inlineStr">
        <is>
          <t>GAGNEF</t>
        </is>
      </c>
      <c r="G188" t="n">
        <v>5.8</v>
      </c>
      <c r="H188" t="n">
        <v>0</v>
      </c>
      <c r="I188" t="n">
        <v>0</v>
      </c>
      <c r="J188" t="n">
        <v>0</v>
      </c>
      <c r="K188" t="n">
        <v>0</v>
      </c>
      <c r="L188" t="n">
        <v>0</v>
      </c>
      <c r="M188" t="n">
        <v>0</v>
      </c>
      <c r="N188" t="n">
        <v>0</v>
      </c>
      <c r="O188" t="n">
        <v>0</v>
      </c>
      <c r="P188" t="n">
        <v>0</v>
      </c>
      <c r="Q188" t="n">
        <v>0</v>
      </c>
      <c r="R188" s="2" t="inlineStr"/>
    </row>
    <row r="189" ht="15" customHeight="1">
      <c r="A189" t="inlineStr">
        <is>
          <t>A 7817-2023</t>
        </is>
      </c>
      <c r="B189" s="1" t="n">
        <v>44973.4645949074</v>
      </c>
      <c r="C189" s="1" t="n">
        <v>46060</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52136-2025</t>
        </is>
      </c>
      <c r="B190" s="1" t="n">
        <v>45952.86512731481</v>
      </c>
      <c r="C190" s="1" t="n">
        <v>46060</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44054-2024</t>
        </is>
      </c>
      <c r="B191" s="1" t="n">
        <v>45572.59703703703</v>
      </c>
      <c r="C191" s="1" t="n">
        <v>46060</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46060</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46060</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21456-2021</t>
        </is>
      </c>
      <c r="B194" s="1" t="n">
        <v>44321</v>
      </c>
      <c r="C194" s="1" t="n">
        <v>46060</v>
      </c>
      <c r="D194" t="inlineStr">
        <is>
          <t>DALARNAS LÄN</t>
        </is>
      </c>
      <c r="E194" t="inlineStr">
        <is>
          <t>GAGNEF</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38723-2025</t>
        </is>
      </c>
      <c r="B195" s="1" t="n">
        <v>45886</v>
      </c>
      <c r="C195" s="1" t="n">
        <v>46060</v>
      </c>
      <c r="D195" t="inlineStr">
        <is>
          <t>DALARNAS LÄN</t>
        </is>
      </c>
      <c r="E195" t="inlineStr">
        <is>
          <t>GAGNEF</t>
        </is>
      </c>
      <c r="G195" t="n">
        <v>0.9</v>
      </c>
      <c r="H195" t="n">
        <v>0</v>
      </c>
      <c r="I195" t="n">
        <v>0</v>
      </c>
      <c r="J195" t="n">
        <v>0</v>
      </c>
      <c r="K195" t="n">
        <v>0</v>
      </c>
      <c r="L195" t="n">
        <v>0</v>
      </c>
      <c r="M195" t="n">
        <v>0</v>
      </c>
      <c r="N195" t="n">
        <v>0</v>
      </c>
      <c r="O195" t="n">
        <v>0</v>
      </c>
      <c r="P195" t="n">
        <v>0</v>
      </c>
      <c r="Q195" t="n">
        <v>0</v>
      </c>
      <c r="R195" s="2" t="inlineStr"/>
    </row>
    <row r="196" ht="15" customHeight="1">
      <c r="A196" t="inlineStr">
        <is>
          <t>A 52738-2025</t>
        </is>
      </c>
      <c r="B196" s="1" t="n">
        <v>45957.37429398148</v>
      </c>
      <c r="C196" s="1" t="n">
        <v>46060</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42308-2021</t>
        </is>
      </c>
      <c r="B197" s="1" t="n">
        <v>44427</v>
      </c>
      <c r="C197" s="1" t="n">
        <v>46060</v>
      </c>
      <c r="D197" t="inlineStr">
        <is>
          <t>DALARNAS LÄN</t>
        </is>
      </c>
      <c r="E197" t="inlineStr">
        <is>
          <t>GAGNEF</t>
        </is>
      </c>
      <c r="F197" t="inlineStr">
        <is>
          <t>Bergvik skog väst AB</t>
        </is>
      </c>
      <c r="G197" t="n">
        <v>3.3</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46060</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36802-2025</t>
        </is>
      </c>
      <c r="B199" s="1" t="n">
        <v>45873.67197916667</v>
      </c>
      <c r="C199" s="1" t="n">
        <v>46060</v>
      </c>
      <c r="D199" t="inlineStr">
        <is>
          <t>DALARNAS LÄN</t>
        </is>
      </c>
      <c r="E199" t="inlineStr">
        <is>
          <t>GAGNEF</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52418-2024</t>
        </is>
      </c>
      <c r="B200" s="1" t="n">
        <v>45609.46230324074</v>
      </c>
      <c r="C200" s="1" t="n">
        <v>46060</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812-2025</t>
        </is>
      </c>
      <c r="B201" s="1" t="n">
        <v>45665.55768518519</v>
      </c>
      <c r="C201" s="1" t="n">
        <v>46060</v>
      </c>
      <c r="D201" t="inlineStr">
        <is>
          <t>DALARNAS LÄN</t>
        </is>
      </c>
      <c r="E201" t="inlineStr">
        <is>
          <t>GAGNEF</t>
        </is>
      </c>
      <c r="G201" t="n">
        <v>2.4</v>
      </c>
      <c r="H201" t="n">
        <v>0</v>
      </c>
      <c r="I201" t="n">
        <v>0</v>
      </c>
      <c r="J201" t="n">
        <v>0</v>
      </c>
      <c r="K201" t="n">
        <v>0</v>
      </c>
      <c r="L201" t="n">
        <v>0</v>
      </c>
      <c r="M201" t="n">
        <v>0</v>
      </c>
      <c r="N201" t="n">
        <v>0</v>
      </c>
      <c r="O201" t="n">
        <v>0</v>
      </c>
      <c r="P201" t="n">
        <v>0</v>
      </c>
      <c r="Q201" t="n">
        <v>0</v>
      </c>
      <c r="R201" s="2" t="inlineStr"/>
    </row>
    <row r="202" ht="15" customHeight="1">
      <c r="A202" t="inlineStr">
        <is>
          <t>A 36800-2025</t>
        </is>
      </c>
      <c r="B202" s="1" t="n">
        <v>45873</v>
      </c>
      <c r="C202" s="1" t="n">
        <v>46060</v>
      </c>
      <c r="D202" t="inlineStr">
        <is>
          <t>DALARNAS LÄN</t>
        </is>
      </c>
      <c r="E202" t="inlineStr">
        <is>
          <t>GAGNEF</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10717-2024</t>
        </is>
      </c>
      <c r="B203" s="1" t="n">
        <v>45369.46217592592</v>
      </c>
      <c r="C203" s="1" t="n">
        <v>46060</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16409-2022</t>
        </is>
      </c>
      <c r="B204" s="1" t="n">
        <v>44671</v>
      </c>
      <c r="C204" s="1" t="n">
        <v>46060</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7344-2024</t>
        </is>
      </c>
      <c r="B205" s="1" t="n">
        <v>45345.45414351852</v>
      </c>
      <c r="C205" s="1" t="n">
        <v>46060</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36562-2025</t>
        </is>
      </c>
      <c r="B206" s="1" t="n">
        <v>45870</v>
      </c>
      <c r="C206" s="1" t="n">
        <v>46060</v>
      </c>
      <c r="D206" t="inlineStr">
        <is>
          <t>DALARNAS LÄN</t>
        </is>
      </c>
      <c r="E206" t="inlineStr">
        <is>
          <t>GAGNEF</t>
        </is>
      </c>
      <c r="F206" t="inlineStr">
        <is>
          <t>Bergvik skog väst AB</t>
        </is>
      </c>
      <c r="G206" t="n">
        <v>3.8</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46060</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46060</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55392-2022</t>
        </is>
      </c>
      <c r="B209" s="1" t="n">
        <v>44887</v>
      </c>
      <c r="C209" s="1" t="n">
        <v>46060</v>
      </c>
      <c r="D209" t="inlineStr">
        <is>
          <t>DALARNAS LÄN</t>
        </is>
      </c>
      <c r="E209" t="inlineStr">
        <is>
          <t>GAGNEF</t>
        </is>
      </c>
      <c r="G209" t="n">
        <v>0.4</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46060</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15670-2024</t>
        </is>
      </c>
      <c r="B211" s="1" t="n">
        <v>45404.39177083333</v>
      </c>
      <c r="C211" s="1" t="n">
        <v>46060</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55838-2025</t>
        </is>
      </c>
      <c r="B212" s="1" t="n">
        <v>45972.89208333333</v>
      </c>
      <c r="C212" s="1" t="n">
        <v>46060</v>
      </c>
      <c r="D212" t="inlineStr">
        <is>
          <t>DALARNAS LÄN</t>
        </is>
      </c>
      <c r="E212" t="inlineStr">
        <is>
          <t>GAGNEF</t>
        </is>
      </c>
      <c r="G212" t="n">
        <v>0.9</v>
      </c>
      <c r="H212" t="n">
        <v>0</v>
      </c>
      <c r="I212" t="n">
        <v>0</v>
      </c>
      <c r="J212" t="n">
        <v>0</v>
      </c>
      <c r="K212" t="n">
        <v>0</v>
      </c>
      <c r="L212" t="n">
        <v>0</v>
      </c>
      <c r="M212" t="n">
        <v>0</v>
      </c>
      <c r="N212" t="n">
        <v>0</v>
      </c>
      <c r="O212" t="n">
        <v>0</v>
      </c>
      <c r="P212" t="n">
        <v>0</v>
      </c>
      <c r="Q212" t="n">
        <v>0</v>
      </c>
      <c r="R212" s="2" t="inlineStr"/>
    </row>
    <row r="213" ht="15" customHeight="1">
      <c r="A213" t="inlineStr">
        <is>
          <t>A 60885-2024</t>
        </is>
      </c>
      <c r="B213" s="1" t="n">
        <v>45644</v>
      </c>
      <c r="C213" s="1" t="n">
        <v>46060</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55801-2025</t>
        </is>
      </c>
      <c r="B214" s="1" t="n">
        <v>45972.67065972222</v>
      </c>
      <c r="C214" s="1" t="n">
        <v>46060</v>
      </c>
      <c r="D214" t="inlineStr">
        <is>
          <t>DALARNAS LÄN</t>
        </is>
      </c>
      <c r="E214" t="inlineStr">
        <is>
          <t>GAGNEF</t>
        </is>
      </c>
      <c r="G214" t="n">
        <v>2.9</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46060</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56461-2025</t>
        </is>
      </c>
      <c r="B216" s="1" t="n">
        <v>45975.36987268519</v>
      </c>
      <c r="C216" s="1" t="n">
        <v>46060</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46060</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46060</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46060</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63796-2025</t>
        </is>
      </c>
      <c r="B220" s="1" t="n">
        <v>46019.81944444445</v>
      </c>
      <c r="C220" s="1" t="n">
        <v>46060</v>
      </c>
      <c r="D220" t="inlineStr">
        <is>
          <t>DALARNAS LÄN</t>
        </is>
      </c>
      <c r="E220" t="inlineStr">
        <is>
          <t>GAGNEF</t>
        </is>
      </c>
      <c r="G220" t="n">
        <v>12.8</v>
      </c>
      <c r="H220" t="n">
        <v>0</v>
      </c>
      <c r="I220" t="n">
        <v>0</v>
      </c>
      <c r="J220" t="n">
        <v>0</v>
      </c>
      <c r="K220" t="n">
        <v>0</v>
      </c>
      <c r="L220" t="n">
        <v>0</v>
      </c>
      <c r="M220" t="n">
        <v>0</v>
      </c>
      <c r="N220" t="n">
        <v>0</v>
      </c>
      <c r="O220" t="n">
        <v>0</v>
      </c>
      <c r="P220" t="n">
        <v>0</v>
      </c>
      <c r="Q220" t="n">
        <v>0</v>
      </c>
      <c r="R220" s="2" t="inlineStr"/>
    </row>
    <row r="221" ht="15" customHeight="1">
      <c r="A221" t="inlineStr">
        <is>
          <t>A 19033-2024</t>
        </is>
      </c>
      <c r="B221" s="1" t="n">
        <v>45427.6833449074</v>
      </c>
      <c r="C221" s="1" t="n">
        <v>46060</v>
      </c>
      <c r="D221" t="inlineStr">
        <is>
          <t>DALARNAS LÄN</t>
        </is>
      </c>
      <c r="E221" t="inlineStr">
        <is>
          <t>GAGNEF</t>
        </is>
      </c>
      <c r="G221" t="n">
        <v>7.2</v>
      </c>
      <c r="H221" t="n">
        <v>0</v>
      </c>
      <c r="I221" t="n">
        <v>0</v>
      </c>
      <c r="J221" t="n">
        <v>0</v>
      </c>
      <c r="K221" t="n">
        <v>0</v>
      </c>
      <c r="L221" t="n">
        <v>0</v>
      </c>
      <c r="M221" t="n">
        <v>0</v>
      </c>
      <c r="N221" t="n">
        <v>0</v>
      </c>
      <c r="O221" t="n">
        <v>0</v>
      </c>
      <c r="P221" t="n">
        <v>0</v>
      </c>
      <c r="Q221" t="n">
        <v>0</v>
      </c>
      <c r="R221" s="2" t="inlineStr"/>
    </row>
    <row r="222" ht="15" customHeight="1">
      <c r="A222" t="inlineStr">
        <is>
          <t>A 57135-2025</t>
        </is>
      </c>
      <c r="B222" s="1" t="n">
        <v>45979.47457175926</v>
      </c>
      <c r="C222" s="1" t="n">
        <v>46060</v>
      </c>
      <c r="D222" t="inlineStr">
        <is>
          <t>DALARNAS LÄN</t>
        </is>
      </c>
      <c r="E222" t="inlineStr">
        <is>
          <t>GAGNEF</t>
        </is>
      </c>
      <c r="G222" t="n">
        <v>1.9</v>
      </c>
      <c r="H222" t="n">
        <v>0</v>
      </c>
      <c r="I222" t="n">
        <v>0</v>
      </c>
      <c r="J222" t="n">
        <v>0</v>
      </c>
      <c r="K222" t="n">
        <v>0</v>
      </c>
      <c r="L222" t="n">
        <v>0</v>
      </c>
      <c r="M222" t="n">
        <v>0</v>
      </c>
      <c r="N222" t="n">
        <v>0</v>
      </c>
      <c r="O222" t="n">
        <v>0</v>
      </c>
      <c r="P222" t="n">
        <v>0</v>
      </c>
      <c r="Q222" t="n">
        <v>0</v>
      </c>
      <c r="R222" s="2" t="inlineStr"/>
    </row>
    <row r="223" ht="15" customHeight="1">
      <c r="A223" t="inlineStr">
        <is>
          <t>A 32848-2024</t>
        </is>
      </c>
      <c r="B223" s="1" t="n">
        <v>45516.63170138889</v>
      </c>
      <c r="C223" s="1" t="n">
        <v>46060</v>
      </c>
      <c r="D223" t="inlineStr">
        <is>
          <t>DALARNAS LÄN</t>
        </is>
      </c>
      <c r="E223" t="inlineStr">
        <is>
          <t>GAGNEF</t>
        </is>
      </c>
      <c r="F223" t="inlineStr">
        <is>
          <t>Bergvik skog väst AB</t>
        </is>
      </c>
      <c r="G223" t="n">
        <v>4.3</v>
      </c>
      <c r="H223" t="n">
        <v>0</v>
      </c>
      <c r="I223" t="n">
        <v>0</v>
      </c>
      <c r="J223" t="n">
        <v>0</v>
      </c>
      <c r="K223" t="n">
        <v>0</v>
      </c>
      <c r="L223" t="n">
        <v>0</v>
      </c>
      <c r="M223" t="n">
        <v>0</v>
      </c>
      <c r="N223" t="n">
        <v>0</v>
      </c>
      <c r="O223" t="n">
        <v>0</v>
      </c>
      <c r="P223" t="n">
        <v>0</v>
      </c>
      <c r="Q223" t="n">
        <v>0</v>
      </c>
      <c r="R223" s="2" t="inlineStr"/>
    </row>
    <row r="224" ht="15" customHeight="1">
      <c r="A224" t="inlineStr">
        <is>
          <t>A 115-2026</t>
        </is>
      </c>
      <c r="B224" s="1" t="n">
        <v>46024.56222222222</v>
      </c>
      <c r="C224" s="1" t="n">
        <v>46060</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134-2026</t>
        </is>
      </c>
      <c r="B225" s="1" t="n">
        <v>46024.60538194444</v>
      </c>
      <c r="C225" s="1" t="n">
        <v>46060</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117-2026</t>
        </is>
      </c>
      <c r="B226" s="1" t="n">
        <v>46024.5670949074</v>
      </c>
      <c r="C226" s="1" t="n">
        <v>46060</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120-2026</t>
        </is>
      </c>
      <c r="B227" s="1" t="n">
        <v>46024.57240740741</v>
      </c>
      <c r="C227" s="1" t="n">
        <v>46060</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55-2026</t>
        </is>
      </c>
      <c r="B228" s="1" t="n">
        <v>46024.4365625</v>
      </c>
      <c r="C228" s="1" t="n">
        <v>46060</v>
      </c>
      <c r="D228" t="inlineStr">
        <is>
          <t>DALARNAS LÄN</t>
        </is>
      </c>
      <c r="E228" t="inlineStr">
        <is>
          <t>GAGNEF</t>
        </is>
      </c>
      <c r="G228" t="n">
        <v>6.5</v>
      </c>
      <c r="H228" t="n">
        <v>0</v>
      </c>
      <c r="I228" t="n">
        <v>0</v>
      </c>
      <c r="J228" t="n">
        <v>0</v>
      </c>
      <c r="K228" t="n">
        <v>0</v>
      </c>
      <c r="L228" t="n">
        <v>0</v>
      </c>
      <c r="M228" t="n">
        <v>0</v>
      </c>
      <c r="N228" t="n">
        <v>0</v>
      </c>
      <c r="O228" t="n">
        <v>0</v>
      </c>
      <c r="P228" t="n">
        <v>0</v>
      </c>
      <c r="Q228" t="n">
        <v>0</v>
      </c>
      <c r="R228" s="2" t="inlineStr"/>
    </row>
    <row r="229" ht="15" customHeight="1">
      <c r="A229" t="inlineStr">
        <is>
          <t>A 126-2026</t>
        </is>
      </c>
      <c r="B229" s="1" t="n">
        <v>46024.59197916667</v>
      </c>
      <c r="C229" s="1" t="n">
        <v>46060</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131-2026</t>
        </is>
      </c>
      <c r="B230" s="1" t="n">
        <v>46024.60009259259</v>
      </c>
      <c r="C230" s="1" t="n">
        <v>46060</v>
      </c>
      <c r="D230" t="inlineStr">
        <is>
          <t>DALARNAS LÄN</t>
        </is>
      </c>
      <c r="E230" t="inlineStr">
        <is>
          <t>GAGNEF</t>
        </is>
      </c>
      <c r="G230" t="n">
        <v>0.4</v>
      </c>
      <c r="H230" t="n">
        <v>0</v>
      </c>
      <c r="I230" t="n">
        <v>0</v>
      </c>
      <c r="J230" t="n">
        <v>0</v>
      </c>
      <c r="K230" t="n">
        <v>0</v>
      </c>
      <c r="L230" t="n">
        <v>0</v>
      </c>
      <c r="M230" t="n">
        <v>0</v>
      </c>
      <c r="N230" t="n">
        <v>0</v>
      </c>
      <c r="O230" t="n">
        <v>0</v>
      </c>
      <c r="P230" t="n">
        <v>0</v>
      </c>
      <c r="Q230" t="n">
        <v>0</v>
      </c>
      <c r="R230" s="2" t="inlineStr"/>
    </row>
    <row r="231" ht="15" customHeight="1">
      <c r="A231" t="inlineStr">
        <is>
          <t>A 301-2026</t>
        </is>
      </c>
      <c r="B231" s="1" t="n">
        <v>46027.52238425926</v>
      </c>
      <c r="C231" s="1" t="n">
        <v>46060</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48867-2024</t>
        </is>
      </c>
      <c r="B232" s="1" t="n">
        <v>45594.25377314815</v>
      </c>
      <c r="C232" s="1" t="n">
        <v>46060</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46060</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708-2026</t>
        </is>
      </c>
      <c r="B234" s="1" t="n">
        <v>46029.6206712963</v>
      </c>
      <c r="C234" s="1" t="n">
        <v>46060</v>
      </c>
      <c r="D234" t="inlineStr">
        <is>
          <t>DALARNAS LÄN</t>
        </is>
      </c>
      <c r="E234" t="inlineStr">
        <is>
          <t>GAGNEF</t>
        </is>
      </c>
      <c r="G234" t="n">
        <v>1.8</v>
      </c>
      <c r="H234" t="n">
        <v>0</v>
      </c>
      <c r="I234" t="n">
        <v>0</v>
      </c>
      <c r="J234" t="n">
        <v>0</v>
      </c>
      <c r="K234" t="n">
        <v>0</v>
      </c>
      <c r="L234" t="n">
        <v>0</v>
      </c>
      <c r="M234" t="n">
        <v>0</v>
      </c>
      <c r="N234" t="n">
        <v>0</v>
      </c>
      <c r="O234" t="n">
        <v>0</v>
      </c>
      <c r="P234" t="n">
        <v>0</v>
      </c>
      <c r="Q234" t="n">
        <v>0</v>
      </c>
      <c r="R234" s="2" t="inlineStr"/>
    </row>
    <row r="235" ht="15" customHeight="1">
      <c r="A235" t="inlineStr">
        <is>
          <t>A 44572-2024</t>
        </is>
      </c>
      <c r="B235" s="1" t="n">
        <v>45574</v>
      </c>
      <c r="C235" s="1" t="n">
        <v>46060</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1276-2026</t>
        </is>
      </c>
      <c r="B236" s="1" t="n">
        <v>46031.47527777778</v>
      </c>
      <c r="C236" s="1" t="n">
        <v>46060</v>
      </c>
      <c r="D236" t="inlineStr">
        <is>
          <t>DALARNAS LÄN</t>
        </is>
      </c>
      <c r="E236" t="inlineStr">
        <is>
          <t>GAGNEF</t>
        </is>
      </c>
      <c r="G236" t="n">
        <v>5.6</v>
      </c>
      <c r="H236" t="n">
        <v>0</v>
      </c>
      <c r="I236" t="n">
        <v>0</v>
      </c>
      <c r="J236" t="n">
        <v>0</v>
      </c>
      <c r="K236" t="n">
        <v>0</v>
      </c>
      <c r="L236" t="n">
        <v>0</v>
      </c>
      <c r="M236" t="n">
        <v>0</v>
      </c>
      <c r="N236" t="n">
        <v>0</v>
      </c>
      <c r="O236" t="n">
        <v>0</v>
      </c>
      <c r="P236" t="n">
        <v>0</v>
      </c>
      <c r="Q236" t="n">
        <v>0</v>
      </c>
      <c r="R236" s="2" t="inlineStr"/>
    </row>
    <row r="237" ht="15" customHeight="1">
      <c r="A237" t="inlineStr">
        <is>
          <t>A 1411-2026</t>
        </is>
      </c>
      <c r="B237" s="1" t="n">
        <v>46031.66760416667</v>
      </c>
      <c r="C237" s="1" t="n">
        <v>46060</v>
      </c>
      <c r="D237" t="inlineStr">
        <is>
          <t>DALARNAS LÄN</t>
        </is>
      </c>
      <c r="E237" t="inlineStr">
        <is>
          <t>GAGNEF</t>
        </is>
      </c>
      <c r="G237" t="n">
        <v>3</v>
      </c>
      <c r="H237" t="n">
        <v>0</v>
      </c>
      <c r="I237" t="n">
        <v>0</v>
      </c>
      <c r="J237" t="n">
        <v>0</v>
      </c>
      <c r="K237" t="n">
        <v>0</v>
      </c>
      <c r="L237" t="n">
        <v>0</v>
      </c>
      <c r="M237" t="n">
        <v>0</v>
      </c>
      <c r="N237" t="n">
        <v>0</v>
      </c>
      <c r="O237" t="n">
        <v>0</v>
      </c>
      <c r="P237" t="n">
        <v>0</v>
      </c>
      <c r="Q237" t="n">
        <v>0</v>
      </c>
      <c r="R237" s="2" t="inlineStr"/>
    </row>
    <row r="238" ht="15" customHeight="1">
      <c r="A238" t="inlineStr">
        <is>
          <t>A 1100-2026</t>
        </is>
      </c>
      <c r="B238" s="1" t="n">
        <v>46030.6665625</v>
      </c>
      <c r="C238" s="1" t="n">
        <v>46060</v>
      </c>
      <c r="D238" t="inlineStr">
        <is>
          <t>DALARNAS LÄN</t>
        </is>
      </c>
      <c r="E238" t="inlineStr">
        <is>
          <t>GAGNEF</t>
        </is>
      </c>
      <c r="G238" t="n">
        <v>10.7</v>
      </c>
      <c r="H238" t="n">
        <v>0</v>
      </c>
      <c r="I238" t="n">
        <v>0</v>
      </c>
      <c r="J238" t="n">
        <v>0</v>
      </c>
      <c r="K238" t="n">
        <v>0</v>
      </c>
      <c r="L238" t="n">
        <v>0</v>
      </c>
      <c r="M238" t="n">
        <v>0</v>
      </c>
      <c r="N238" t="n">
        <v>0</v>
      </c>
      <c r="O238" t="n">
        <v>0</v>
      </c>
      <c r="P238" t="n">
        <v>0</v>
      </c>
      <c r="Q238" t="n">
        <v>0</v>
      </c>
      <c r="R238" s="2" t="inlineStr"/>
    </row>
    <row r="239" ht="15" customHeight="1">
      <c r="A239" t="inlineStr">
        <is>
          <t>A 1413-2026</t>
        </is>
      </c>
      <c r="B239" s="1" t="n">
        <v>46031.68702546296</v>
      </c>
      <c r="C239" s="1" t="n">
        <v>46060</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1430-2026</t>
        </is>
      </c>
      <c r="B240" s="1" t="n">
        <v>46032.39976851852</v>
      </c>
      <c r="C240" s="1" t="n">
        <v>46060</v>
      </c>
      <c r="D240" t="inlineStr">
        <is>
          <t>DALARNAS LÄN</t>
        </is>
      </c>
      <c r="E240" t="inlineStr">
        <is>
          <t>GAGNEF</t>
        </is>
      </c>
      <c r="G240" t="n">
        <v>4.2</v>
      </c>
      <c r="H240" t="n">
        <v>0</v>
      </c>
      <c r="I240" t="n">
        <v>0</v>
      </c>
      <c r="J240" t="n">
        <v>0</v>
      </c>
      <c r="K240" t="n">
        <v>0</v>
      </c>
      <c r="L240" t="n">
        <v>0</v>
      </c>
      <c r="M240" t="n">
        <v>0</v>
      </c>
      <c r="N240" t="n">
        <v>0</v>
      </c>
      <c r="O240" t="n">
        <v>0</v>
      </c>
      <c r="P240" t="n">
        <v>0</v>
      </c>
      <c r="Q240" t="n">
        <v>0</v>
      </c>
      <c r="R240" s="2" t="inlineStr"/>
    </row>
    <row r="241" ht="15" customHeight="1">
      <c r="A241" t="inlineStr">
        <is>
          <t>A 1431-2026</t>
        </is>
      </c>
      <c r="B241" s="1" t="n">
        <v>46032.41365740741</v>
      </c>
      <c r="C241" s="1" t="n">
        <v>46060</v>
      </c>
      <c r="D241" t="inlineStr">
        <is>
          <t>DALARNAS LÄN</t>
        </is>
      </c>
      <c r="E241" t="inlineStr">
        <is>
          <t>GAGNEF</t>
        </is>
      </c>
      <c r="G241" t="n">
        <v>8.4</v>
      </c>
      <c r="H241" t="n">
        <v>0</v>
      </c>
      <c r="I241" t="n">
        <v>0</v>
      </c>
      <c r="J241" t="n">
        <v>0</v>
      </c>
      <c r="K241" t="n">
        <v>0</v>
      </c>
      <c r="L241" t="n">
        <v>0</v>
      </c>
      <c r="M241" t="n">
        <v>0</v>
      </c>
      <c r="N241" t="n">
        <v>0</v>
      </c>
      <c r="O241" t="n">
        <v>0</v>
      </c>
      <c r="P241" t="n">
        <v>0</v>
      </c>
      <c r="Q241" t="n">
        <v>0</v>
      </c>
      <c r="R241" s="2" t="inlineStr"/>
    </row>
    <row r="242" ht="15" customHeight="1">
      <c r="A242" t="inlineStr">
        <is>
          <t>A 59580-2025</t>
        </is>
      </c>
      <c r="B242" s="1" t="n">
        <v>45992.30768518519</v>
      </c>
      <c r="C242" s="1" t="n">
        <v>46060</v>
      </c>
      <c r="D242" t="inlineStr">
        <is>
          <t>DALARNAS LÄN</t>
        </is>
      </c>
      <c r="E242" t="inlineStr">
        <is>
          <t>GAGNEF</t>
        </is>
      </c>
      <c r="G242" t="n">
        <v>4.5</v>
      </c>
      <c r="H242" t="n">
        <v>0</v>
      </c>
      <c r="I242" t="n">
        <v>0</v>
      </c>
      <c r="J242" t="n">
        <v>0</v>
      </c>
      <c r="K242" t="n">
        <v>0</v>
      </c>
      <c r="L242" t="n">
        <v>0</v>
      </c>
      <c r="M242" t="n">
        <v>0</v>
      </c>
      <c r="N242" t="n">
        <v>0</v>
      </c>
      <c r="O242" t="n">
        <v>0</v>
      </c>
      <c r="P242" t="n">
        <v>0</v>
      </c>
      <c r="Q242" t="n">
        <v>0</v>
      </c>
      <c r="R242" s="2" t="inlineStr"/>
    </row>
    <row r="243" ht="15" customHeight="1">
      <c r="A243" t="inlineStr">
        <is>
          <t>A 45596-2023</t>
        </is>
      </c>
      <c r="B243" s="1" t="n">
        <v>45194.64077546296</v>
      </c>
      <c r="C243" s="1" t="n">
        <v>46060</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1584-2026</t>
        </is>
      </c>
      <c r="B244" s="1" t="n">
        <v>46034.43663194445</v>
      </c>
      <c r="C244" s="1" t="n">
        <v>46060</v>
      </c>
      <c r="D244" t="inlineStr">
        <is>
          <t>DALARNAS LÄN</t>
        </is>
      </c>
      <c r="E244" t="inlineStr">
        <is>
          <t>GAGNEF</t>
        </is>
      </c>
      <c r="G244" t="n">
        <v>2.9</v>
      </c>
      <c r="H244" t="n">
        <v>0</v>
      </c>
      <c r="I244" t="n">
        <v>0</v>
      </c>
      <c r="J244" t="n">
        <v>0</v>
      </c>
      <c r="K244" t="n">
        <v>0</v>
      </c>
      <c r="L244" t="n">
        <v>0</v>
      </c>
      <c r="M244" t="n">
        <v>0</v>
      </c>
      <c r="N244" t="n">
        <v>0</v>
      </c>
      <c r="O244" t="n">
        <v>0</v>
      </c>
      <c r="P244" t="n">
        <v>0</v>
      </c>
      <c r="Q244" t="n">
        <v>0</v>
      </c>
      <c r="R244" s="2" t="inlineStr"/>
    </row>
    <row r="245" ht="15" customHeight="1">
      <c r="A245" t="inlineStr">
        <is>
          <t>A 57729-2022</t>
        </is>
      </c>
      <c r="B245" s="1" t="n">
        <v>44897</v>
      </c>
      <c r="C245" s="1" t="n">
        <v>46060</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1432-2026</t>
        </is>
      </c>
      <c r="B246" s="1" t="n">
        <v>46032.41707175926</v>
      </c>
      <c r="C246" s="1" t="n">
        <v>46060</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2393-2026</t>
        </is>
      </c>
      <c r="B247" s="1" t="n">
        <v>46036.67758101852</v>
      </c>
      <c r="C247" s="1" t="n">
        <v>46060</v>
      </c>
      <c r="D247" t="inlineStr">
        <is>
          <t>DALARNAS LÄN</t>
        </is>
      </c>
      <c r="E247" t="inlineStr">
        <is>
          <t>GAGNEF</t>
        </is>
      </c>
      <c r="G247" t="n">
        <v>12.4</v>
      </c>
      <c r="H247" t="n">
        <v>0</v>
      </c>
      <c r="I247" t="n">
        <v>0</v>
      </c>
      <c r="J247" t="n">
        <v>0</v>
      </c>
      <c r="K247" t="n">
        <v>0</v>
      </c>
      <c r="L247" t="n">
        <v>0</v>
      </c>
      <c r="M247" t="n">
        <v>0</v>
      </c>
      <c r="N247" t="n">
        <v>0</v>
      </c>
      <c r="O247" t="n">
        <v>0</v>
      </c>
      <c r="P247" t="n">
        <v>0</v>
      </c>
      <c r="Q247" t="n">
        <v>0</v>
      </c>
      <c r="R247" s="2" t="inlineStr"/>
    </row>
    <row r="248" ht="15" customHeight="1">
      <c r="A248" t="inlineStr">
        <is>
          <t>A 38444-2024</t>
        </is>
      </c>
      <c r="B248" s="1" t="n">
        <v>45546.42988425926</v>
      </c>
      <c r="C248" s="1" t="n">
        <v>46060</v>
      </c>
      <c r="D248" t="inlineStr">
        <is>
          <t>DALARNAS LÄN</t>
        </is>
      </c>
      <c r="E248" t="inlineStr">
        <is>
          <t>GAGNEF</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60021-2023</t>
        </is>
      </c>
      <c r="B249" s="1" t="n">
        <v>45258</v>
      </c>
      <c r="C249" s="1" t="n">
        <v>46060</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2707-2026</t>
        </is>
      </c>
      <c r="B250" s="1" t="n">
        <v>46037.71488425926</v>
      </c>
      <c r="C250" s="1" t="n">
        <v>46060</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2172-2026</t>
        </is>
      </c>
      <c r="B251" s="1" t="n">
        <v>46036.44976851852</v>
      </c>
      <c r="C251" s="1" t="n">
        <v>46060</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17322-2024</t>
        </is>
      </c>
      <c r="B252" s="1" t="n">
        <v>45414.54059027778</v>
      </c>
      <c r="C252" s="1" t="n">
        <v>46060</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2943-2026</t>
        </is>
      </c>
      <c r="B253" s="1" t="n">
        <v>46038.59100694444</v>
      </c>
      <c r="C253" s="1" t="n">
        <v>46060</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2916-2026</t>
        </is>
      </c>
      <c r="B254" s="1" t="n">
        <v>46038.56959490741</v>
      </c>
      <c r="C254" s="1" t="n">
        <v>46060</v>
      </c>
      <c r="D254" t="inlineStr">
        <is>
          <t>DALARNAS LÄN</t>
        </is>
      </c>
      <c r="E254" t="inlineStr">
        <is>
          <t>GAGNEF</t>
        </is>
      </c>
      <c r="G254" t="n">
        <v>1.4</v>
      </c>
      <c r="H254" t="n">
        <v>0</v>
      </c>
      <c r="I254" t="n">
        <v>0</v>
      </c>
      <c r="J254" t="n">
        <v>0</v>
      </c>
      <c r="K254" t="n">
        <v>0</v>
      </c>
      <c r="L254" t="n">
        <v>0</v>
      </c>
      <c r="M254" t="n">
        <v>0</v>
      </c>
      <c r="N254" t="n">
        <v>0</v>
      </c>
      <c r="O254" t="n">
        <v>0</v>
      </c>
      <c r="P254" t="n">
        <v>0</v>
      </c>
      <c r="Q254" t="n">
        <v>0</v>
      </c>
      <c r="R254" s="2" t="inlineStr"/>
    </row>
    <row r="255" ht="15" customHeight="1">
      <c r="A255" t="inlineStr">
        <is>
          <t>A 2924-2026</t>
        </is>
      </c>
      <c r="B255" s="1" t="n">
        <v>46038.58</v>
      </c>
      <c r="C255" s="1" t="n">
        <v>46060</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60308-2024</t>
        </is>
      </c>
      <c r="B256" s="1" t="n">
        <v>45643.34236111111</v>
      </c>
      <c r="C256" s="1" t="n">
        <v>46060</v>
      </c>
      <c r="D256" t="inlineStr">
        <is>
          <t>DALARNAS LÄN</t>
        </is>
      </c>
      <c r="E256" t="inlineStr">
        <is>
          <t>GAGNEF</t>
        </is>
      </c>
      <c r="G256" t="n">
        <v>2.7</v>
      </c>
      <c r="H256" t="n">
        <v>0</v>
      </c>
      <c r="I256" t="n">
        <v>0</v>
      </c>
      <c r="J256" t="n">
        <v>0</v>
      </c>
      <c r="K256" t="n">
        <v>0</v>
      </c>
      <c r="L256" t="n">
        <v>0</v>
      </c>
      <c r="M256" t="n">
        <v>0</v>
      </c>
      <c r="N256" t="n">
        <v>0</v>
      </c>
      <c r="O256" t="n">
        <v>0</v>
      </c>
      <c r="P256" t="n">
        <v>0</v>
      </c>
      <c r="Q256" t="n">
        <v>0</v>
      </c>
      <c r="R256" s="2" t="inlineStr"/>
    </row>
    <row r="257" ht="15" customHeight="1">
      <c r="A257" t="inlineStr">
        <is>
          <t>A 2173-2024</t>
        </is>
      </c>
      <c r="B257" s="1" t="n">
        <v>45309.63329861111</v>
      </c>
      <c r="C257" s="1" t="n">
        <v>46060</v>
      </c>
      <c r="D257" t="inlineStr">
        <is>
          <t>DALARNAS LÄN</t>
        </is>
      </c>
      <c r="E257" t="inlineStr">
        <is>
          <t>GAGNEF</t>
        </is>
      </c>
      <c r="G257" t="n">
        <v>1.3</v>
      </c>
      <c r="H257" t="n">
        <v>0</v>
      </c>
      <c r="I257" t="n">
        <v>0</v>
      </c>
      <c r="J257" t="n">
        <v>0</v>
      </c>
      <c r="K257" t="n">
        <v>0</v>
      </c>
      <c r="L257" t="n">
        <v>0</v>
      </c>
      <c r="M257" t="n">
        <v>0</v>
      </c>
      <c r="N257" t="n">
        <v>0</v>
      </c>
      <c r="O257" t="n">
        <v>0</v>
      </c>
      <c r="P257" t="n">
        <v>0</v>
      </c>
      <c r="Q257" t="n">
        <v>0</v>
      </c>
      <c r="R257" s="2" t="inlineStr"/>
    </row>
    <row r="258" ht="15" customHeight="1">
      <c r="A258" t="inlineStr">
        <is>
          <t>A 3125-2026</t>
        </is>
      </c>
      <c r="B258" s="1" t="n">
        <v>46041.37744212963</v>
      </c>
      <c r="C258" s="1" t="n">
        <v>46060</v>
      </c>
      <c r="D258" t="inlineStr">
        <is>
          <t>DALARNAS LÄN</t>
        </is>
      </c>
      <c r="E258" t="inlineStr">
        <is>
          <t>GAGNEF</t>
        </is>
      </c>
      <c r="G258" t="n">
        <v>3.3</v>
      </c>
      <c r="H258" t="n">
        <v>0</v>
      </c>
      <c r="I258" t="n">
        <v>0</v>
      </c>
      <c r="J258" t="n">
        <v>0</v>
      </c>
      <c r="K258" t="n">
        <v>0</v>
      </c>
      <c r="L258" t="n">
        <v>0</v>
      </c>
      <c r="M258" t="n">
        <v>0</v>
      </c>
      <c r="N258" t="n">
        <v>0</v>
      </c>
      <c r="O258" t="n">
        <v>0</v>
      </c>
      <c r="P258" t="n">
        <v>0</v>
      </c>
      <c r="Q258" t="n">
        <v>0</v>
      </c>
      <c r="R258" s="2" t="inlineStr"/>
    </row>
    <row r="259" ht="15" customHeight="1">
      <c r="A259" t="inlineStr">
        <is>
          <t>A 60652-2023</t>
        </is>
      </c>
      <c r="B259" s="1" t="n">
        <v>45260</v>
      </c>
      <c r="C259" s="1" t="n">
        <v>46060</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46060</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60572-2025</t>
        </is>
      </c>
      <c r="B261" s="1" t="n">
        <v>45995.94155092593</v>
      </c>
      <c r="C261" s="1" t="n">
        <v>46060</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3389-2026</t>
        </is>
      </c>
      <c r="B262" s="1" t="n">
        <v>46042.36956018519</v>
      </c>
      <c r="C262" s="1" t="n">
        <v>46060</v>
      </c>
      <c r="D262" t="inlineStr">
        <is>
          <t>DALARNAS LÄN</t>
        </is>
      </c>
      <c r="E262" t="inlineStr">
        <is>
          <t>GAGNEF</t>
        </is>
      </c>
      <c r="G262" t="n">
        <v>0.7</v>
      </c>
      <c r="H262" t="n">
        <v>0</v>
      </c>
      <c r="I262" t="n">
        <v>0</v>
      </c>
      <c r="J262" t="n">
        <v>0</v>
      </c>
      <c r="K262" t="n">
        <v>0</v>
      </c>
      <c r="L262" t="n">
        <v>0</v>
      </c>
      <c r="M262" t="n">
        <v>0</v>
      </c>
      <c r="N262" t="n">
        <v>0</v>
      </c>
      <c r="O262" t="n">
        <v>0</v>
      </c>
      <c r="P262" t="n">
        <v>0</v>
      </c>
      <c r="Q262" t="n">
        <v>0</v>
      </c>
      <c r="R262" s="2" t="inlineStr"/>
    </row>
    <row r="263" ht="15" customHeight="1">
      <c r="A263" t="inlineStr">
        <is>
          <t>A 3418-2026</t>
        </is>
      </c>
      <c r="B263" s="1" t="n">
        <v>46042.42332175926</v>
      </c>
      <c r="C263" s="1" t="n">
        <v>46060</v>
      </c>
      <c r="D263" t="inlineStr">
        <is>
          <t>DALARNAS LÄN</t>
        </is>
      </c>
      <c r="E263" t="inlineStr">
        <is>
          <t>GAGNEF</t>
        </is>
      </c>
      <c r="G263" t="n">
        <v>4</v>
      </c>
      <c r="H263" t="n">
        <v>0</v>
      </c>
      <c r="I263" t="n">
        <v>0</v>
      </c>
      <c r="J263" t="n">
        <v>0</v>
      </c>
      <c r="K263" t="n">
        <v>0</v>
      </c>
      <c r="L263" t="n">
        <v>0</v>
      </c>
      <c r="M263" t="n">
        <v>0</v>
      </c>
      <c r="N263" t="n">
        <v>0</v>
      </c>
      <c r="O263" t="n">
        <v>0</v>
      </c>
      <c r="P263" t="n">
        <v>0</v>
      </c>
      <c r="Q263" t="n">
        <v>0</v>
      </c>
      <c r="R263" s="2" t="inlineStr"/>
    </row>
    <row r="264" ht="15" customHeight="1">
      <c r="A264" t="inlineStr">
        <is>
          <t>A 2443-2024</t>
        </is>
      </c>
      <c r="B264" s="1" t="n">
        <v>45311</v>
      </c>
      <c r="C264" s="1" t="n">
        <v>46060</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68330-2021</t>
        </is>
      </c>
      <c r="B265" s="1" t="n">
        <v>44527</v>
      </c>
      <c r="C265" s="1" t="n">
        <v>46060</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19954-2025</t>
        </is>
      </c>
      <c r="B266" s="1" t="n">
        <v>45771.65960648148</v>
      </c>
      <c r="C266" s="1" t="n">
        <v>46060</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18412-2024</t>
        </is>
      </c>
      <c r="B267" s="1" t="n">
        <v>45425.37940972222</v>
      </c>
      <c r="C267" s="1" t="n">
        <v>46060</v>
      </c>
      <c r="D267" t="inlineStr">
        <is>
          <t>DALARNAS LÄN</t>
        </is>
      </c>
      <c r="E267" t="inlineStr">
        <is>
          <t>GAGNEF</t>
        </is>
      </c>
      <c r="G267" t="n">
        <v>2.9</v>
      </c>
      <c r="H267" t="n">
        <v>0</v>
      </c>
      <c r="I267" t="n">
        <v>0</v>
      </c>
      <c r="J267" t="n">
        <v>0</v>
      </c>
      <c r="K267" t="n">
        <v>0</v>
      </c>
      <c r="L267" t="n">
        <v>0</v>
      </c>
      <c r="M267" t="n">
        <v>0</v>
      </c>
      <c r="N267" t="n">
        <v>0</v>
      </c>
      <c r="O267" t="n">
        <v>0</v>
      </c>
      <c r="P267" t="n">
        <v>0</v>
      </c>
      <c r="Q267" t="n">
        <v>0</v>
      </c>
      <c r="R267" s="2" t="inlineStr"/>
    </row>
    <row r="268" ht="15" customHeight="1">
      <c r="A268" t="inlineStr">
        <is>
          <t>A 37870-2022</t>
        </is>
      </c>
      <c r="B268" s="1" t="n">
        <v>44811.36627314815</v>
      </c>
      <c r="C268" s="1" t="n">
        <v>46060</v>
      </c>
      <c r="D268" t="inlineStr">
        <is>
          <t>DALARNAS LÄN</t>
        </is>
      </c>
      <c r="E268" t="inlineStr">
        <is>
          <t>GAGNEF</t>
        </is>
      </c>
      <c r="G268" t="n">
        <v>2.1</v>
      </c>
      <c r="H268" t="n">
        <v>0</v>
      </c>
      <c r="I268" t="n">
        <v>0</v>
      </c>
      <c r="J268" t="n">
        <v>0</v>
      </c>
      <c r="K268" t="n">
        <v>0</v>
      </c>
      <c r="L268" t="n">
        <v>0</v>
      </c>
      <c r="M268" t="n">
        <v>0</v>
      </c>
      <c r="N268" t="n">
        <v>0</v>
      </c>
      <c r="O268" t="n">
        <v>0</v>
      </c>
      <c r="P268" t="n">
        <v>0</v>
      </c>
      <c r="Q268" t="n">
        <v>0</v>
      </c>
      <c r="R268" s="2" t="inlineStr"/>
    </row>
    <row r="269" ht="15" customHeight="1">
      <c r="A269" t="inlineStr">
        <is>
          <t>A 1421-2026</t>
        </is>
      </c>
      <c r="B269" s="1" t="n">
        <v>46031</v>
      </c>
      <c r="C269" s="1" t="n">
        <v>46060</v>
      </c>
      <c r="D269" t="inlineStr">
        <is>
          <t>DALARNAS LÄN</t>
        </is>
      </c>
      <c r="E269" t="inlineStr">
        <is>
          <t>GAGNEF</t>
        </is>
      </c>
      <c r="G269" t="n">
        <v>6.6</v>
      </c>
      <c r="H269" t="n">
        <v>0</v>
      </c>
      <c r="I269" t="n">
        <v>0</v>
      </c>
      <c r="J269" t="n">
        <v>0</v>
      </c>
      <c r="K269" t="n">
        <v>0</v>
      </c>
      <c r="L269" t="n">
        <v>0</v>
      </c>
      <c r="M269" t="n">
        <v>0</v>
      </c>
      <c r="N269" t="n">
        <v>0</v>
      </c>
      <c r="O269" t="n">
        <v>0</v>
      </c>
      <c r="P269" t="n">
        <v>0</v>
      </c>
      <c r="Q269" t="n">
        <v>0</v>
      </c>
      <c r="R269" s="2" t="inlineStr"/>
    </row>
    <row r="270" ht="15" customHeight="1">
      <c r="A270" t="inlineStr">
        <is>
          <t>A 3599-2026</t>
        </is>
      </c>
      <c r="B270" s="1" t="n">
        <v>46042</v>
      </c>
      <c r="C270" s="1" t="n">
        <v>46060</v>
      </c>
      <c r="D270" t="inlineStr">
        <is>
          <t>DALARNAS LÄN</t>
        </is>
      </c>
      <c r="E270" t="inlineStr">
        <is>
          <t>GAGNEF</t>
        </is>
      </c>
      <c r="G270" t="n">
        <v>2</v>
      </c>
      <c r="H270" t="n">
        <v>0</v>
      </c>
      <c r="I270" t="n">
        <v>0</v>
      </c>
      <c r="J270" t="n">
        <v>0</v>
      </c>
      <c r="K270" t="n">
        <v>0</v>
      </c>
      <c r="L270" t="n">
        <v>0</v>
      </c>
      <c r="M270" t="n">
        <v>0</v>
      </c>
      <c r="N270" t="n">
        <v>0</v>
      </c>
      <c r="O270" t="n">
        <v>0</v>
      </c>
      <c r="P270" t="n">
        <v>0</v>
      </c>
      <c r="Q270" t="n">
        <v>0</v>
      </c>
      <c r="R270" s="2" t="inlineStr"/>
    </row>
    <row r="271" ht="15" customHeight="1">
      <c r="A271" t="inlineStr">
        <is>
          <t>A 42677-2024</t>
        </is>
      </c>
      <c r="B271" s="1" t="n">
        <v>45566.37476851852</v>
      </c>
      <c r="C271" s="1" t="n">
        <v>46060</v>
      </c>
      <c r="D271" t="inlineStr">
        <is>
          <t>DALARNAS LÄN</t>
        </is>
      </c>
      <c r="E271" t="inlineStr">
        <is>
          <t>GAGNEF</t>
        </is>
      </c>
      <c r="G271" t="n">
        <v>0.9</v>
      </c>
      <c r="H271" t="n">
        <v>0</v>
      </c>
      <c r="I271" t="n">
        <v>0</v>
      </c>
      <c r="J271" t="n">
        <v>0</v>
      </c>
      <c r="K271" t="n">
        <v>0</v>
      </c>
      <c r="L271" t="n">
        <v>0</v>
      </c>
      <c r="M271" t="n">
        <v>0</v>
      </c>
      <c r="N271" t="n">
        <v>0</v>
      </c>
      <c r="O271" t="n">
        <v>0</v>
      </c>
      <c r="P271" t="n">
        <v>0</v>
      </c>
      <c r="Q271" t="n">
        <v>0</v>
      </c>
      <c r="R271" s="2" t="inlineStr"/>
    </row>
    <row r="272" ht="15" customHeight="1">
      <c r="A272" t="inlineStr">
        <is>
          <t>A 39367-2023</t>
        </is>
      </c>
      <c r="B272" s="1" t="n">
        <v>45166</v>
      </c>
      <c r="C272" s="1" t="n">
        <v>46060</v>
      </c>
      <c r="D272" t="inlineStr">
        <is>
          <t>DALARNAS LÄN</t>
        </is>
      </c>
      <c r="E272" t="inlineStr">
        <is>
          <t>GAGNEF</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63648-2023</t>
        </is>
      </c>
      <c r="B273" s="1" t="n">
        <v>45275</v>
      </c>
      <c r="C273" s="1" t="n">
        <v>46060</v>
      </c>
      <c r="D273" t="inlineStr">
        <is>
          <t>DALARNAS LÄN</t>
        </is>
      </c>
      <c r="E273" t="inlineStr">
        <is>
          <t>GAGNEF</t>
        </is>
      </c>
      <c r="G273" t="n">
        <v>0.3</v>
      </c>
      <c r="H273" t="n">
        <v>0</v>
      </c>
      <c r="I273" t="n">
        <v>0</v>
      </c>
      <c r="J273" t="n">
        <v>0</v>
      </c>
      <c r="K273" t="n">
        <v>0</v>
      </c>
      <c r="L273" t="n">
        <v>0</v>
      </c>
      <c r="M273" t="n">
        <v>0</v>
      </c>
      <c r="N273" t="n">
        <v>0</v>
      </c>
      <c r="O273" t="n">
        <v>0</v>
      </c>
      <c r="P273" t="n">
        <v>0</v>
      </c>
      <c r="Q273" t="n">
        <v>0</v>
      </c>
      <c r="R273" s="2" t="inlineStr"/>
    </row>
    <row r="274" ht="15" customHeight="1">
      <c r="A274" t="inlineStr">
        <is>
          <t>A 4238-2026</t>
        </is>
      </c>
      <c r="B274" s="1" t="n">
        <v>46044.954375</v>
      </c>
      <c r="C274" s="1" t="n">
        <v>46060</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4397-2026</t>
        </is>
      </c>
      <c r="B275" s="1" t="n">
        <v>46045.58430555555</v>
      </c>
      <c r="C275" s="1" t="n">
        <v>46060</v>
      </c>
      <c r="D275" t="inlineStr">
        <is>
          <t>DALARNAS LÄN</t>
        </is>
      </c>
      <c r="E275" t="inlineStr">
        <is>
          <t>GAGNEF</t>
        </is>
      </c>
      <c r="G275" t="n">
        <v>7.2</v>
      </c>
      <c r="H275" t="n">
        <v>0</v>
      </c>
      <c r="I275" t="n">
        <v>0</v>
      </c>
      <c r="J275" t="n">
        <v>0</v>
      </c>
      <c r="K275" t="n">
        <v>0</v>
      </c>
      <c r="L275" t="n">
        <v>0</v>
      </c>
      <c r="M275" t="n">
        <v>0</v>
      </c>
      <c r="N275" t="n">
        <v>0</v>
      </c>
      <c r="O275" t="n">
        <v>0</v>
      </c>
      <c r="P275" t="n">
        <v>0</v>
      </c>
      <c r="Q275" t="n">
        <v>0</v>
      </c>
      <c r="R275" s="2" t="inlineStr"/>
    </row>
    <row r="276" ht="15" customHeight="1">
      <c r="A276" t="inlineStr">
        <is>
          <t>A 4416-2026</t>
        </is>
      </c>
      <c r="B276" s="1" t="n">
        <v>46045.60434027778</v>
      </c>
      <c r="C276" s="1" t="n">
        <v>46060</v>
      </c>
      <c r="D276" t="inlineStr">
        <is>
          <t>DALARNAS LÄN</t>
        </is>
      </c>
      <c r="E276" t="inlineStr">
        <is>
          <t>GAGNEF</t>
        </is>
      </c>
      <c r="G276" t="n">
        <v>2.2</v>
      </c>
      <c r="H276" t="n">
        <v>0</v>
      </c>
      <c r="I276" t="n">
        <v>0</v>
      </c>
      <c r="J276" t="n">
        <v>0</v>
      </c>
      <c r="K276" t="n">
        <v>0</v>
      </c>
      <c r="L276" t="n">
        <v>0</v>
      </c>
      <c r="M276" t="n">
        <v>0</v>
      </c>
      <c r="N276" t="n">
        <v>0</v>
      </c>
      <c r="O276" t="n">
        <v>0</v>
      </c>
      <c r="P276" t="n">
        <v>0</v>
      </c>
      <c r="Q276" t="n">
        <v>0</v>
      </c>
      <c r="R276" s="2" t="inlineStr"/>
    </row>
    <row r="277" ht="15" customHeight="1">
      <c r="A277" t="inlineStr">
        <is>
          <t>A 52437-2024</t>
        </is>
      </c>
      <c r="B277" s="1" t="n">
        <v>45608</v>
      </c>
      <c r="C277" s="1" t="n">
        <v>46060</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35526-2024</t>
        </is>
      </c>
      <c r="B278" s="1" t="n">
        <v>45531.58143518519</v>
      </c>
      <c r="C278" s="1" t="n">
        <v>46060</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17710-2023</t>
        </is>
      </c>
      <c r="B279" s="1" t="n">
        <v>45037.38356481482</v>
      </c>
      <c r="C279" s="1" t="n">
        <v>46060</v>
      </c>
      <c r="D279" t="inlineStr">
        <is>
          <t>DALARNAS LÄN</t>
        </is>
      </c>
      <c r="E279" t="inlineStr">
        <is>
          <t>GAGNEF</t>
        </is>
      </c>
      <c r="G279" t="n">
        <v>10.7</v>
      </c>
      <c r="H279" t="n">
        <v>0</v>
      </c>
      <c r="I279" t="n">
        <v>0</v>
      </c>
      <c r="J279" t="n">
        <v>0</v>
      </c>
      <c r="K279" t="n">
        <v>0</v>
      </c>
      <c r="L279" t="n">
        <v>0</v>
      </c>
      <c r="M279" t="n">
        <v>0</v>
      </c>
      <c r="N279" t="n">
        <v>0</v>
      </c>
      <c r="O279" t="n">
        <v>0</v>
      </c>
      <c r="P279" t="n">
        <v>0</v>
      </c>
      <c r="Q279" t="n">
        <v>0</v>
      </c>
      <c r="R279" s="2" t="inlineStr"/>
    </row>
    <row r="280" ht="15" customHeight="1">
      <c r="A280" t="inlineStr">
        <is>
          <t>A 4718-2026</t>
        </is>
      </c>
      <c r="B280" s="1" t="n">
        <v>46048.46645833334</v>
      </c>
      <c r="C280" s="1" t="n">
        <v>46060</v>
      </c>
      <c r="D280" t="inlineStr">
        <is>
          <t>DALARNAS LÄN</t>
        </is>
      </c>
      <c r="E280" t="inlineStr">
        <is>
          <t>GAGNEF</t>
        </is>
      </c>
      <c r="G280" t="n">
        <v>5.3</v>
      </c>
      <c r="H280" t="n">
        <v>0</v>
      </c>
      <c r="I280" t="n">
        <v>0</v>
      </c>
      <c r="J280" t="n">
        <v>0</v>
      </c>
      <c r="K280" t="n">
        <v>0</v>
      </c>
      <c r="L280" t="n">
        <v>0</v>
      </c>
      <c r="M280" t="n">
        <v>0</v>
      </c>
      <c r="N280" t="n">
        <v>0</v>
      </c>
      <c r="O280" t="n">
        <v>0</v>
      </c>
      <c r="P280" t="n">
        <v>0</v>
      </c>
      <c r="Q280" t="n">
        <v>0</v>
      </c>
      <c r="R280" s="2" t="inlineStr"/>
    </row>
    <row r="281" ht="15" customHeight="1">
      <c r="A281" t="inlineStr">
        <is>
          <t>A 4686-2026</t>
        </is>
      </c>
      <c r="B281" s="1" t="n">
        <v>46048.43784722222</v>
      </c>
      <c r="C281" s="1" t="n">
        <v>46060</v>
      </c>
      <c r="D281" t="inlineStr">
        <is>
          <t>DALARNAS LÄN</t>
        </is>
      </c>
      <c r="E281" t="inlineStr">
        <is>
          <t>GAGNEF</t>
        </is>
      </c>
      <c r="G281" t="n">
        <v>4</v>
      </c>
      <c r="H281" t="n">
        <v>0</v>
      </c>
      <c r="I281" t="n">
        <v>0</v>
      </c>
      <c r="J281" t="n">
        <v>0</v>
      </c>
      <c r="K281" t="n">
        <v>0</v>
      </c>
      <c r="L281" t="n">
        <v>0</v>
      </c>
      <c r="M281" t="n">
        <v>0</v>
      </c>
      <c r="N281" t="n">
        <v>0</v>
      </c>
      <c r="O281" t="n">
        <v>0</v>
      </c>
      <c r="P281" t="n">
        <v>0</v>
      </c>
      <c r="Q281" t="n">
        <v>0</v>
      </c>
      <c r="R281" s="2" t="inlineStr"/>
    </row>
    <row r="282" ht="15" customHeight="1">
      <c r="A282" t="inlineStr">
        <is>
          <t>A 4615-2026</t>
        </is>
      </c>
      <c r="B282" s="1" t="n">
        <v>46048.37015046296</v>
      </c>
      <c r="C282" s="1" t="n">
        <v>46060</v>
      </c>
      <c r="D282" t="inlineStr">
        <is>
          <t>DALARNAS LÄN</t>
        </is>
      </c>
      <c r="E282" t="inlineStr">
        <is>
          <t>GAGNEF</t>
        </is>
      </c>
      <c r="G282" t="n">
        <v>2.3</v>
      </c>
      <c r="H282" t="n">
        <v>0</v>
      </c>
      <c r="I282" t="n">
        <v>0</v>
      </c>
      <c r="J282" t="n">
        <v>0</v>
      </c>
      <c r="K282" t="n">
        <v>0</v>
      </c>
      <c r="L282" t="n">
        <v>0</v>
      </c>
      <c r="M282" t="n">
        <v>0</v>
      </c>
      <c r="N282" t="n">
        <v>0</v>
      </c>
      <c r="O282" t="n">
        <v>0</v>
      </c>
      <c r="P282" t="n">
        <v>0</v>
      </c>
      <c r="Q282" t="n">
        <v>0</v>
      </c>
      <c r="R282" s="2" t="inlineStr"/>
    </row>
    <row r="283" ht="15" customHeight="1">
      <c r="A283" t="inlineStr">
        <is>
          <t>A 4871-2026</t>
        </is>
      </c>
      <c r="B283" s="1" t="n">
        <v>46048.64840277778</v>
      </c>
      <c r="C283" s="1" t="n">
        <v>46060</v>
      </c>
      <c r="D283" t="inlineStr">
        <is>
          <t>DALARNAS LÄN</t>
        </is>
      </c>
      <c r="E283" t="inlineStr">
        <is>
          <t>GAGNEF</t>
        </is>
      </c>
      <c r="G283" t="n">
        <v>2.8</v>
      </c>
      <c r="H283" t="n">
        <v>0</v>
      </c>
      <c r="I283" t="n">
        <v>0</v>
      </c>
      <c r="J283" t="n">
        <v>0</v>
      </c>
      <c r="K283" t="n">
        <v>0</v>
      </c>
      <c r="L283" t="n">
        <v>0</v>
      </c>
      <c r="M283" t="n">
        <v>0</v>
      </c>
      <c r="N283" t="n">
        <v>0</v>
      </c>
      <c r="O283" t="n">
        <v>0</v>
      </c>
      <c r="P283" t="n">
        <v>0</v>
      </c>
      <c r="Q283" t="n">
        <v>0</v>
      </c>
      <c r="R283" s="2" t="inlineStr"/>
    </row>
    <row r="284" ht="15" customHeight="1">
      <c r="A284" t="inlineStr">
        <is>
          <t>A 4826-2026</t>
        </is>
      </c>
      <c r="B284" s="1" t="n">
        <v>46048.59686342593</v>
      </c>
      <c r="C284" s="1" t="n">
        <v>46060</v>
      </c>
      <c r="D284" t="inlineStr">
        <is>
          <t>DALARNAS LÄN</t>
        </is>
      </c>
      <c r="E284" t="inlineStr">
        <is>
          <t>GAGNEF</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4682-2026</t>
        </is>
      </c>
      <c r="B285" s="1" t="n">
        <v>46048.43288194444</v>
      </c>
      <c r="C285" s="1" t="n">
        <v>46060</v>
      </c>
      <c r="D285" t="inlineStr">
        <is>
          <t>DALARNAS LÄN</t>
        </is>
      </c>
      <c r="E285" t="inlineStr">
        <is>
          <t>GAGNEF</t>
        </is>
      </c>
      <c r="G285" t="n">
        <v>3.8</v>
      </c>
      <c r="H285" t="n">
        <v>0</v>
      </c>
      <c r="I285" t="n">
        <v>0</v>
      </c>
      <c r="J285" t="n">
        <v>0</v>
      </c>
      <c r="K285" t="n">
        <v>0</v>
      </c>
      <c r="L285" t="n">
        <v>0</v>
      </c>
      <c r="M285" t="n">
        <v>0</v>
      </c>
      <c r="N285" t="n">
        <v>0</v>
      </c>
      <c r="O285" t="n">
        <v>0</v>
      </c>
      <c r="P285" t="n">
        <v>0</v>
      </c>
      <c r="Q285" t="n">
        <v>0</v>
      </c>
      <c r="R285" s="2" t="inlineStr"/>
    </row>
    <row r="286" ht="15" customHeight="1">
      <c r="A286" t="inlineStr">
        <is>
          <t>A 1367-2026</t>
        </is>
      </c>
      <c r="B286" s="1" t="n">
        <v>46031</v>
      </c>
      <c r="C286" s="1" t="n">
        <v>46060</v>
      </c>
      <c r="D286" t="inlineStr">
        <is>
          <t>DALARNAS LÄN</t>
        </is>
      </c>
      <c r="E286" t="inlineStr">
        <is>
          <t>GAGNEF</t>
        </is>
      </c>
      <c r="G286" t="n">
        <v>14.8</v>
      </c>
      <c r="H286" t="n">
        <v>0</v>
      </c>
      <c r="I286" t="n">
        <v>0</v>
      </c>
      <c r="J286" t="n">
        <v>0</v>
      </c>
      <c r="K286" t="n">
        <v>0</v>
      </c>
      <c r="L286" t="n">
        <v>0</v>
      </c>
      <c r="M286" t="n">
        <v>0</v>
      </c>
      <c r="N286" t="n">
        <v>0</v>
      </c>
      <c r="O286" t="n">
        <v>0</v>
      </c>
      <c r="P286" t="n">
        <v>0</v>
      </c>
      <c r="Q286" t="n">
        <v>0</v>
      </c>
      <c r="R286" s="2" t="inlineStr"/>
    </row>
    <row r="287" ht="15" customHeight="1">
      <c r="A287" t="inlineStr">
        <is>
          <t>A 18956-2025</t>
        </is>
      </c>
      <c r="B287" s="1" t="n">
        <v>45764.51827546296</v>
      </c>
      <c r="C287" s="1" t="n">
        <v>46060</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16066-2025</t>
        </is>
      </c>
      <c r="B288" s="1" t="n">
        <v>45749.66427083333</v>
      </c>
      <c r="C288" s="1" t="n">
        <v>46060</v>
      </c>
      <c r="D288" t="inlineStr">
        <is>
          <t>DALARNAS LÄN</t>
        </is>
      </c>
      <c r="E288" t="inlineStr">
        <is>
          <t>GAGNEF</t>
        </is>
      </c>
      <c r="G288" t="n">
        <v>6.7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46060</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5548-2026</t>
        </is>
      </c>
      <c r="B290" s="1" t="n">
        <v>46050.71394675926</v>
      </c>
      <c r="C290" s="1" t="n">
        <v>46060</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5256-2026</t>
        </is>
      </c>
      <c r="B291" s="1" t="n">
        <v>46050.28173611111</v>
      </c>
      <c r="C291" s="1" t="n">
        <v>46060</v>
      </c>
      <c r="D291" t="inlineStr">
        <is>
          <t>DALARNAS LÄN</t>
        </is>
      </c>
      <c r="E291" t="inlineStr">
        <is>
          <t>GAGNEF</t>
        </is>
      </c>
      <c r="G291" t="n">
        <v>1.7</v>
      </c>
      <c r="H291" t="n">
        <v>0</v>
      </c>
      <c r="I291" t="n">
        <v>0</v>
      </c>
      <c r="J291" t="n">
        <v>0</v>
      </c>
      <c r="K291" t="n">
        <v>0</v>
      </c>
      <c r="L291" t="n">
        <v>0</v>
      </c>
      <c r="M291" t="n">
        <v>0</v>
      </c>
      <c r="N291" t="n">
        <v>0</v>
      </c>
      <c r="O291" t="n">
        <v>0</v>
      </c>
      <c r="P291" t="n">
        <v>0</v>
      </c>
      <c r="Q291" t="n">
        <v>0</v>
      </c>
      <c r="R291" s="2" t="inlineStr"/>
    </row>
    <row r="292" ht="15" customHeight="1">
      <c r="A292" t="inlineStr">
        <is>
          <t>A 63084-2025</t>
        </is>
      </c>
      <c r="B292" s="1" t="n">
        <v>46009.6719212963</v>
      </c>
      <c r="C292" s="1" t="n">
        <v>46060</v>
      </c>
      <c r="D292" t="inlineStr">
        <is>
          <t>DALARNAS LÄN</t>
        </is>
      </c>
      <c r="E292" t="inlineStr">
        <is>
          <t>GAGNEF</t>
        </is>
      </c>
      <c r="F292" t="inlineStr">
        <is>
          <t>Kyrkan</t>
        </is>
      </c>
      <c r="G292" t="n">
        <v>3.6</v>
      </c>
      <c r="H292" t="n">
        <v>0</v>
      </c>
      <c r="I292" t="n">
        <v>0</v>
      </c>
      <c r="J292" t="n">
        <v>0</v>
      </c>
      <c r="K292" t="n">
        <v>0</v>
      </c>
      <c r="L292" t="n">
        <v>0</v>
      </c>
      <c r="M292" t="n">
        <v>0</v>
      </c>
      <c r="N292" t="n">
        <v>0</v>
      </c>
      <c r="O292" t="n">
        <v>0</v>
      </c>
      <c r="P292" t="n">
        <v>0</v>
      </c>
      <c r="Q292" t="n">
        <v>0</v>
      </c>
      <c r="R292" s="2" t="inlineStr"/>
    </row>
    <row r="293" ht="15" customHeight="1">
      <c r="A293" t="inlineStr">
        <is>
          <t>A 54181-2025</t>
        </is>
      </c>
      <c r="B293" s="1" t="n">
        <v>45964</v>
      </c>
      <c r="C293" s="1" t="n">
        <v>46060</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56842-2024</t>
        </is>
      </c>
      <c r="B294" s="1" t="n">
        <v>45628.52410879629</v>
      </c>
      <c r="C294" s="1" t="n">
        <v>46060</v>
      </c>
      <c r="D294" t="inlineStr">
        <is>
          <t>DALARNAS LÄN</t>
        </is>
      </c>
      <c r="E294" t="inlineStr">
        <is>
          <t>GAGNEF</t>
        </is>
      </c>
      <c r="G294" t="n">
        <v>9.6</v>
      </c>
      <c r="H294" t="n">
        <v>0</v>
      </c>
      <c r="I294" t="n">
        <v>0</v>
      </c>
      <c r="J294" t="n">
        <v>0</v>
      </c>
      <c r="K294" t="n">
        <v>0</v>
      </c>
      <c r="L294" t="n">
        <v>0</v>
      </c>
      <c r="M294" t="n">
        <v>0</v>
      </c>
      <c r="N294" t="n">
        <v>0</v>
      </c>
      <c r="O294" t="n">
        <v>0</v>
      </c>
      <c r="P294" t="n">
        <v>0</v>
      </c>
      <c r="Q294" t="n">
        <v>0</v>
      </c>
      <c r="R294" s="2" t="inlineStr"/>
    </row>
    <row r="295" ht="15" customHeight="1">
      <c r="A295" t="inlineStr">
        <is>
          <t>A 54178-2025</t>
        </is>
      </c>
      <c r="B295" s="1" t="n">
        <v>45964</v>
      </c>
      <c r="C295" s="1" t="n">
        <v>46060</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5686-2026</t>
        </is>
      </c>
      <c r="B296" s="1" t="n">
        <v>46051.48701388889</v>
      </c>
      <c r="C296" s="1" t="n">
        <v>46060</v>
      </c>
      <c r="D296" t="inlineStr">
        <is>
          <t>DALARNAS LÄN</t>
        </is>
      </c>
      <c r="E296" t="inlineStr">
        <is>
          <t>GAGNEF</t>
        </is>
      </c>
      <c r="G296" t="n">
        <v>1</v>
      </c>
      <c r="H296" t="n">
        <v>0</v>
      </c>
      <c r="I296" t="n">
        <v>0</v>
      </c>
      <c r="J296" t="n">
        <v>0</v>
      </c>
      <c r="K296" t="n">
        <v>0</v>
      </c>
      <c r="L296" t="n">
        <v>0</v>
      </c>
      <c r="M296" t="n">
        <v>0</v>
      </c>
      <c r="N296" t="n">
        <v>0</v>
      </c>
      <c r="O296" t="n">
        <v>0</v>
      </c>
      <c r="P296" t="n">
        <v>0</v>
      </c>
      <c r="Q296" t="n">
        <v>0</v>
      </c>
      <c r="R296" s="2" t="inlineStr"/>
    </row>
    <row r="297" ht="15" customHeight="1">
      <c r="A297" t="inlineStr">
        <is>
          <t>A 63184-2025</t>
        </is>
      </c>
      <c r="B297" s="1" t="n">
        <v>46010.43115740741</v>
      </c>
      <c r="C297" s="1" t="n">
        <v>46060</v>
      </c>
      <c r="D297" t="inlineStr">
        <is>
          <t>DALARNAS LÄN</t>
        </is>
      </c>
      <c r="E297" t="inlineStr">
        <is>
          <t>GAGNEF</t>
        </is>
      </c>
      <c r="G297" t="n">
        <v>4.3</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46060</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63325-2025</t>
        </is>
      </c>
      <c r="B299" s="1" t="n">
        <v>46010.63777777777</v>
      </c>
      <c r="C299" s="1" t="n">
        <v>46060</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326-2024</t>
        </is>
      </c>
      <c r="B300" s="1" t="n">
        <v>45295</v>
      </c>
      <c r="C300" s="1" t="n">
        <v>46060</v>
      </c>
      <c r="D300" t="inlineStr">
        <is>
          <t>DALARNAS LÄN</t>
        </is>
      </c>
      <c r="E300" t="inlineStr">
        <is>
          <t>GAGNEF</t>
        </is>
      </c>
      <c r="G300" t="n">
        <v>9.4</v>
      </c>
      <c r="H300" t="n">
        <v>0</v>
      </c>
      <c r="I300" t="n">
        <v>0</v>
      </c>
      <c r="J300" t="n">
        <v>0</v>
      </c>
      <c r="K300" t="n">
        <v>0</v>
      </c>
      <c r="L300" t="n">
        <v>0</v>
      </c>
      <c r="M300" t="n">
        <v>0</v>
      </c>
      <c r="N300" t="n">
        <v>0</v>
      </c>
      <c r="O300" t="n">
        <v>0</v>
      </c>
      <c r="P300" t="n">
        <v>0</v>
      </c>
      <c r="Q300" t="n">
        <v>0</v>
      </c>
      <c r="R300" s="2" t="inlineStr"/>
    </row>
    <row r="301" ht="15" customHeight="1">
      <c r="A301" t="inlineStr">
        <is>
          <t>A 6303-2026</t>
        </is>
      </c>
      <c r="B301" s="1" t="n">
        <v>46055.56982638889</v>
      </c>
      <c r="C301" s="1" t="n">
        <v>46060</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57134-2022</t>
        </is>
      </c>
      <c r="B302" s="1" t="n">
        <v>44895</v>
      </c>
      <c r="C302" s="1" t="n">
        <v>46060</v>
      </c>
      <c r="D302" t="inlineStr">
        <is>
          <t>DALARNAS LÄN</t>
        </is>
      </c>
      <c r="E302" t="inlineStr">
        <is>
          <t>GAGNEF</t>
        </is>
      </c>
      <c r="G302" t="n">
        <v>3.5</v>
      </c>
      <c r="H302" t="n">
        <v>0</v>
      </c>
      <c r="I302" t="n">
        <v>0</v>
      </c>
      <c r="J302" t="n">
        <v>0</v>
      </c>
      <c r="K302" t="n">
        <v>0</v>
      </c>
      <c r="L302" t="n">
        <v>0</v>
      </c>
      <c r="M302" t="n">
        <v>0</v>
      </c>
      <c r="N302" t="n">
        <v>0</v>
      </c>
      <c r="O302" t="n">
        <v>0</v>
      </c>
      <c r="P302" t="n">
        <v>0</v>
      </c>
      <c r="Q302" t="n">
        <v>0</v>
      </c>
      <c r="R302" s="2" t="inlineStr"/>
    </row>
    <row r="303" ht="15" customHeight="1">
      <c r="A303" t="inlineStr">
        <is>
          <t>A 6072-2026</t>
        </is>
      </c>
      <c r="B303" s="1" t="n">
        <v>46052.66299768518</v>
      </c>
      <c r="C303" s="1" t="n">
        <v>46060</v>
      </c>
      <c r="D303" t="inlineStr">
        <is>
          <t>DALARNAS LÄN</t>
        </is>
      </c>
      <c r="E303" t="inlineStr">
        <is>
          <t>GAGNEF</t>
        </is>
      </c>
      <c r="G303" t="n">
        <v>7.4</v>
      </c>
      <c r="H303" t="n">
        <v>0</v>
      </c>
      <c r="I303" t="n">
        <v>0</v>
      </c>
      <c r="J303" t="n">
        <v>0</v>
      </c>
      <c r="K303" t="n">
        <v>0</v>
      </c>
      <c r="L303" t="n">
        <v>0</v>
      </c>
      <c r="M303" t="n">
        <v>0</v>
      </c>
      <c r="N303" t="n">
        <v>0</v>
      </c>
      <c r="O303" t="n">
        <v>0</v>
      </c>
      <c r="P303" t="n">
        <v>0</v>
      </c>
      <c r="Q303" t="n">
        <v>0</v>
      </c>
      <c r="R303" s="2" t="inlineStr"/>
    </row>
    <row r="304" ht="15" customHeight="1">
      <c r="A304" t="inlineStr">
        <is>
          <t>A 63707-2025</t>
        </is>
      </c>
      <c r="B304" s="1" t="n">
        <v>46014.61262731482</v>
      </c>
      <c r="C304" s="1" t="n">
        <v>46060</v>
      </c>
      <c r="D304" t="inlineStr">
        <is>
          <t>DALARNAS LÄN</t>
        </is>
      </c>
      <c r="E304" t="inlineStr">
        <is>
          <t>GAGNEF</t>
        </is>
      </c>
      <c r="G304" t="n">
        <v>6.4</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46060</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52426-2024</t>
        </is>
      </c>
      <c r="B306" s="1" t="n">
        <v>45608</v>
      </c>
      <c r="C306" s="1" t="n">
        <v>46060</v>
      </c>
      <c r="D306" t="inlineStr">
        <is>
          <t>DALARNAS LÄN</t>
        </is>
      </c>
      <c r="E306" t="inlineStr">
        <is>
          <t>GAGNEF</t>
        </is>
      </c>
      <c r="G306" t="n">
        <v>2</v>
      </c>
      <c r="H306" t="n">
        <v>0</v>
      </c>
      <c r="I306" t="n">
        <v>0</v>
      </c>
      <c r="J306" t="n">
        <v>0</v>
      </c>
      <c r="K306" t="n">
        <v>0</v>
      </c>
      <c r="L306" t="n">
        <v>0</v>
      </c>
      <c r="M306" t="n">
        <v>0</v>
      </c>
      <c r="N306" t="n">
        <v>0</v>
      </c>
      <c r="O306" t="n">
        <v>0</v>
      </c>
      <c r="P306" t="n">
        <v>0</v>
      </c>
      <c r="Q306" t="n">
        <v>0</v>
      </c>
      <c r="R306" s="2" t="inlineStr"/>
    </row>
    <row r="307" ht="15" customHeight="1">
      <c r="A307" t="inlineStr">
        <is>
          <t>A 19046-2025</t>
        </is>
      </c>
      <c r="B307" s="1" t="n">
        <v>45764.76855324074</v>
      </c>
      <c r="C307" s="1" t="n">
        <v>46060</v>
      </c>
      <c r="D307" t="inlineStr">
        <is>
          <t>DALARNAS LÄN</t>
        </is>
      </c>
      <c r="E307" t="inlineStr">
        <is>
          <t>GAGNEF</t>
        </is>
      </c>
      <c r="G307" t="n">
        <v>20.4</v>
      </c>
      <c r="H307" t="n">
        <v>0</v>
      </c>
      <c r="I307" t="n">
        <v>0</v>
      </c>
      <c r="J307" t="n">
        <v>0</v>
      </c>
      <c r="K307" t="n">
        <v>0</v>
      </c>
      <c r="L307" t="n">
        <v>0</v>
      </c>
      <c r="M307" t="n">
        <v>0</v>
      </c>
      <c r="N307" t="n">
        <v>0</v>
      </c>
      <c r="O307" t="n">
        <v>0</v>
      </c>
      <c r="P307" t="n">
        <v>0</v>
      </c>
      <c r="Q307" t="n">
        <v>0</v>
      </c>
      <c r="R307" s="2" t="inlineStr"/>
    </row>
    <row r="308" ht="15" customHeight="1">
      <c r="A308" t="inlineStr">
        <is>
          <t>A 245-2026</t>
        </is>
      </c>
      <c r="B308" s="1" t="n">
        <v>46027</v>
      </c>
      <c r="C308" s="1" t="n">
        <v>46060</v>
      </c>
      <c r="D308" t="inlineStr">
        <is>
          <t>DALARNAS LÄN</t>
        </is>
      </c>
      <c r="E308" t="inlineStr">
        <is>
          <t>GAGNEF</t>
        </is>
      </c>
      <c r="G308" t="n">
        <v>6.4</v>
      </c>
      <c r="H308" t="n">
        <v>0</v>
      </c>
      <c r="I308" t="n">
        <v>0</v>
      </c>
      <c r="J308" t="n">
        <v>0</v>
      </c>
      <c r="K308" t="n">
        <v>0</v>
      </c>
      <c r="L308" t="n">
        <v>0</v>
      </c>
      <c r="M308" t="n">
        <v>0</v>
      </c>
      <c r="N308" t="n">
        <v>0</v>
      </c>
      <c r="O308" t="n">
        <v>0</v>
      </c>
      <c r="P308" t="n">
        <v>0</v>
      </c>
      <c r="Q308" t="n">
        <v>0</v>
      </c>
      <c r="R308" s="2" t="inlineStr"/>
    </row>
    <row r="309" ht="15" customHeight="1">
      <c r="A309" t="inlineStr">
        <is>
          <t>A 23489-2024</t>
        </is>
      </c>
      <c r="B309" s="1" t="n">
        <v>45453.68108796296</v>
      </c>
      <c r="C309" s="1" t="n">
        <v>46060</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340-2026</t>
        </is>
      </c>
      <c r="B310" s="1" t="n">
        <v>46027</v>
      </c>
      <c r="C310" s="1" t="n">
        <v>46060</v>
      </c>
      <c r="D310" t="inlineStr">
        <is>
          <t>DALARNAS LÄN</t>
        </is>
      </c>
      <c r="E310" t="inlineStr">
        <is>
          <t>GAGNEF</t>
        </is>
      </c>
      <c r="G310" t="n">
        <v>3.3</v>
      </c>
      <c r="H310" t="n">
        <v>0</v>
      </c>
      <c r="I310" t="n">
        <v>0</v>
      </c>
      <c r="J310" t="n">
        <v>0</v>
      </c>
      <c r="K310" t="n">
        <v>0</v>
      </c>
      <c r="L310" t="n">
        <v>0</v>
      </c>
      <c r="M310" t="n">
        <v>0</v>
      </c>
      <c r="N310" t="n">
        <v>0</v>
      </c>
      <c r="O310" t="n">
        <v>0</v>
      </c>
      <c r="P310" t="n">
        <v>0</v>
      </c>
      <c r="Q310" t="n">
        <v>0</v>
      </c>
      <c r="R310" s="2" t="inlineStr"/>
    </row>
    <row r="311" ht="15" customHeight="1">
      <c r="A311" t="inlineStr">
        <is>
          <t>A 2505-2024</t>
        </is>
      </c>
      <c r="B311" s="1" t="n">
        <v>45313</v>
      </c>
      <c r="C311" s="1" t="n">
        <v>46060</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44040-2024</t>
        </is>
      </c>
      <c r="B312" s="1" t="n">
        <v>45572.58497685185</v>
      </c>
      <c r="C312" s="1" t="n">
        <v>46060</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45521-2024</t>
        </is>
      </c>
      <c r="B313" s="1" t="n">
        <v>45578.71738425926</v>
      </c>
      <c r="C313" s="1" t="n">
        <v>46060</v>
      </c>
      <c r="D313" t="inlineStr">
        <is>
          <t>DALARNAS LÄN</t>
        </is>
      </c>
      <c r="E313" t="inlineStr">
        <is>
          <t>GAGNEF</t>
        </is>
      </c>
      <c r="G313" t="n">
        <v>1.7</v>
      </c>
      <c r="H313" t="n">
        <v>0</v>
      </c>
      <c r="I313" t="n">
        <v>0</v>
      </c>
      <c r="J313" t="n">
        <v>0</v>
      </c>
      <c r="K313" t="n">
        <v>0</v>
      </c>
      <c r="L313" t="n">
        <v>0</v>
      </c>
      <c r="M313" t="n">
        <v>0</v>
      </c>
      <c r="N313" t="n">
        <v>0</v>
      </c>
      <c r="O313" t="n">
        <v>0</v>
      </c>
      <c r="P313" t="n">
        <v>0</v>
      </c>
      <c r="Q313" t="n">
        <v>0</v>
      </c>
      <c r="R313" s="2" t="inlineStr"/>
    </row>
    <row r="314" ht="15" customHeight="1">
      <c r="A314" t="inlineStr">
        <is>
          <t>A 41365-2023</t>
        </is>
      </c>
      <c r="B314" s="1" t="n">
        <v>45174.84201388889</v>
      </c>
      <c r="C314" s="1" t="n">
        <v>46060</v>
      </c>
      <c r="D314" t="inlineStr">
        <is>
          <t>DALARNAS LÄN</t>
        </is>
      </c>
      <c r="E314" t="inlineStr">
        <is>
          <t>GAGNEF</t>
        </is>
      </c>
      <c r="G314" t="n">
        <v>0.8</v>
      </c>
      <c r="H314" t="n">
        <v>0</v>
      </c>
      <c r="I314" t="n">
        <v>0</v>
      </c>
      <c r="J314" t="n">
        <v>0</v>
      </c>
      <c r="K314" t="n">
        <v>0</v>
      </c>
      <c r="L314" t="n">
        <v>0</v>
      </c>
      <c r="M314" t="n">
        <v>0</v>
      </c>
      <c r="N314" t="n">
        <v>0</v>
      </c>
      <c r="O314" t="n">
        <v>0</v>
      </c>
      <c r="P314" t="n">
        <v>0</v>
      </c>
      <c r="Q314" t="n">
        <v>0</v>
      </c>
      <c r="R314" s="2" t="inlineStr"/>
    </row>
    <row r="315" ht="15" customHeight="1">
      <c r="A315" t="inlineStr">
        <is>
          <t>A 38426-2024</t>
        </is>
      </c>
      <c r="B315" s="1" t="n">
        <v>45546.3780787037</v>
      </c>
      <c r="C315" s="1" t="n">
        <v>46060</v>
      </c>
      <c r="D315" t="inlineStr">
        <is>
          <t>DALARNAS LÄN</t>
        </is>
      </c>
      <c r="E315" t="inlineStr">
        <is>
          <t>GAGNEF</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64925-2021</t>
        </is>
      </c>
      <c r="B316" s="1" t="n">
        <v>44512.75452546297</v>
      </c>
      <c r="C316" s="1" t="n">
        <v>46060</v>
      </c>
      <c r="D316" t="inlineStr">
        <is>
          <t>DALARNAS LÄN</t>
        </is>
      </c>
      <c r="E316" t="inlineStr">
        <is>
          <t>GAGNEF</t>
        </is>
      </c>
      <c r="G316" t="n">
        <v>1.3</v>
      </c>
      <c r="H316" t="n">
        <v>0</v>
      </c>
      <c r="I316" t="n">
        <v>0</v>
      </c>
      <c r="J316" t="n">
        <v>0</v>
      </c>
      <c r="K316" t="n">
        <v>0</v>
      </c>
      <c r="L316" t="n">
        <v>0</v>
      </c>
      <c r="M316" t="n">
        <v>0</v>
      </c>
      <c r="N316" t="n">
        <v>0</v>
      </c>
      <c r="O316" t="n">
        <v>0</v>
      </c>
      <c r="P316" t="n">
        <v>0</v>
      </c>
      <c r="Q316" t="n">
        <v>0</v>
      </c>
      <c r="R316" s="2" t="inlineStr"/>
    </row>
    <row r="317" ht="15" customHeight="1">
      <c r="A317" t="inlineStr">
        <is>
          <t>A 34467-2024</t>
        </is>
      </c>
      <c r="B317" s="1" t="n">
        <v>45525.5819212963</v>
      </c>
      <c r="C317" s="1" t="n">
        <v>46060</v>
      </c>
      <c r="D317" t="inlineStr">
        <is>
          <t>DALARNAS LÄN</t>
        </is>
      </c>
      <c r="E317" t="inlineStr">
        <is>
          <t>GAGNEF</t>
        </is>
      </c>
      <c r="G317" t="n">
        <v>0.8</v>
      </c>
      <c r="H317" t="n">
        <v>0</v>
      </c>
      <c r="I317" t="n">
        <v>0</v>
      </c>
      <c r="J317" t="n">
        <v>0</v>
      </c>
      <c r="K317" t="n">
        <v>0</v>
      </c>
      <c r="L317" t="n">
        <v>0</v>
      </c>
      <c r="M317" t="n">
        <v>0</v>
      </c>
      <c r="N317" t="n">
        <v>0</v>
      </c>
      <c r="O317" t="n">
        <v>0</v>
      </c>
      <c r="P317" t="n">
        <v>0</v>
      </c>
      <c r="Q317" t="n">
        <v>0</v>
      </c>
      <c r="R317" s="2" t="inlineStr"/>
    </row>
    <row r="318" ht="15" customHeight="1">
      <c r="A318" t="inlineStr">
        <is>
          <t>A 25024-2023</t>
        </is>
      </c>
      <c r="B318" s="1" t="n">
        <v>45085</v>
      </c>
      <c r="C318" s="1" t="n">
        <v>46060</v>
      </c>
      <c r="D318" t="inlineStr">
        <is>
          <t>DALARNAS LÄN</t>
        </is>
      </c>
      <c r="E318" t="inlineStr">
        <is>
          <t>GAGNEF</t>
        </is>
      </c>
      <c r="G318" t="n">
        <v>0.5</v>
      </c>
      <c r="H318" t="n">
        <v>0</v>
      </c>
      <c r="I318" t="n">
        <v>0</v>
      </c>
      <c r="J318" t="n">
        <v>0</v>
      </c>
      <c r="K318" t="n">
        <v>0</v>
      </c>
      <c r="L318" t="n">
        <v>0</v>
      </c>
      <c r="M318" t="n">
        <v>0</v>
      </c>
      <c r="N318" t="n">
        <v>0</v>
      </c>
      <c r="O318" t="n">
        <v>0</v>
      </c>
      <c r="P318" t="n">
        <v>0</v>
      </c>
      <c r="Q318" t="n">
        <v>0</v>
      </c>
      <c r="R318" s="2" t="inlineStr"/>
    </row>
    <row r="319" ht="15" customHeight="1">
      <c r="A319" t="inlineStr">
        <is>
          <t>A 337-2025</t>
        </is>
      </c>
      <c r="B319" s="1" t="n">
        <v>45660.68168981482</v>
      </c>
      <c r="C319" s="1" t="n">
        <v>46060</v>
      </c>
      <c r="D319" t="inlineStr">
        <is>
          <t>DALARNAS LÄN</t>
        </is>
      </c>
      <c r="E319" t="inlineStr">
        <is>
          <t>GAGNEF</t>
        </is>
      </c>
      <c r="G319" t="n">
        <v>2.2</v>
      </c>
      <c r="H319" t="n">
        <v>0</v>
      </c>
      <c r="I319" t="n">
        <v>0</v>
      </c>
      <c r="J319" t="n">
        <v>0</v>
      </c>
      <c r="K319" t="n">
        <v>0</v>
      </c>
      <c r="L319" t="n">
        <v>0</v>
      </c>
      <c r="M319" t="n">
        <v>0</v>
      </c>
      <c r="N319" t="n">
        <v>0</v>
      </c>
      <c r="O319" t="n">
        <v>0</v>
      </c>
      <c r="P319" t="n">
        <v>0</v>
      </c>
      <c r="Q319" t="n">
        <v>0</v>
      </c>
      <c r="R319" s="2" t="inlineStr"/>
    </row>
    <row r="320" ht="15" customHeight="1">
      <c r="A320" t="inlineStr">
        <is>
          <t>A 17854-2024</t>
        </is>
      </c>
      <c r="B320" s="1" t="n">
        <v>45419.41003472222</v>
      </c>
      <c r="C320" s="1" t="n">
        <v>46060</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41952-2024</t>
        </is>
      </c>
      <c r="B321" s="1" t="n">
        <v>45561.58697916667</v>
      </c>
      <c r="C321" s="1" t="n">
        <v>46060</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31804-2024</t>
        </is>
      </c>
      <c r="B322" s="1" t="n">
        <v>45509.57237268519</v>
      </c>
      <c r="C322" s="1" t="n">
        <v>46060</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41442-2024</t>
        </is>
      </c>
      <c r="B323" s="1" t="n">
        <v>45560.39084490741</v>
      </c>
      <c r="C323" s="1" t="n">
        <v>46060</v>
      </c>
      <c r="D323" t="inlineStr">
        <is>
          <t>DALARNAS LÄN</t>
        </is>
      </c>
      <c r="E323" t="inlineStr">
        <is>
          <t>GAGNEF</t>
        </is>
      </c>
      <c r="G323" t="n">
        <v>2.2</v>
      </c>
      <c r="H323" t="n">
        <v>0</v>
      </c>
      <c r="I323" t="n">
        <v>0</v>
      </c>
      <c r="J323" t="n">
        <v>0</v>
      </c>
      <c r="K323" t="n">
        <v>0</v>
      </c>
      <c r="L323" t="n">
        <v>0</v>
      </c>
      <c r="M323" t="n">
        <v>0</v>
      </c>
      <c r="N323" t="n">
        <v>0</v>
      </c>
      <c r="O323" t="n">
        <v>0</v>
      </c>
      <c r="P323" t="n">
        <v>0</v>
      </c>
      <c r="Q323" t="n">
        <v>0</v>
      </c>
      <c r="R323" s="2" t="inlineStr"/>
    </row>
    <row r="324" ht="15" customHeight="1">
      <c r="A324" t="inlineStr">
        <is>
          <t>A 20486-2024</t>
        </is>
      </c>
      <c r="B324" s="1" t="n">
        <v>45435.76391203704</v>
      </c>
      <c r="C324" s="1" t="n">
        <v>46060</v>
      </c>
      <c r="D324" t="inlineStr">
        <is>
          <t>DALARNAS LÄN</t>
        </is>
      </c>
      <c r="E324" t="inlineStr">
        <is>
          <t>GAGNEF</t>
        </is>
      </c>
      <c r="G324" t="n">
        <v>10.1</v>
      </c>
      <c r="H324" t="n">
        <v>0</v>
      </c>
      <c r="I324" t="n">
        <v>0</v>
      </c>
      <c r="J324" t="n">
        <v>0</v>
      </c>
      <c r="K324" t="n">
        <v>0</v>
      </c>
      <c r="L324" t="n">
        <v>0</v>
      </c>
      <c r="M324" t="n">
        <v>0</v>
      </c>
      <c r="N324" t="n">
        <v>0</v>
      </c>
      <c r="O324" t="n">
        <v>0</v>
      </c>
      <c r="P324" t="n">
        <v>0</v>
      </c>
      <c r="Q324" t="n">
        <v>0</v>
      </c>
      <c r="R324" s="2" t="inlineStr"/>
    </row>
    <row r="325" ht="15" customHeight="1">
      <c r="A325" t="inlineStr">
        <is>
          <t>A 52159-2023</t>
        </is>
      </c>
      <c r="B325" s="1" t="n">
        <v>45224</v>
      </c>
      <c r="C325" s="1" t="n">
        <v>46060</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25853-2024</t>
        </is>
      </c>
      <c r="B326" s="1" t="n">
        <v>45467.44922453703</v>
      </c>
      <c r="C326" s="1" t="n">
        <v>46060</v>
      </c>
      <c r="D326" t="inlineStr">
        <is>
          <t>DALARNAS LÄN</t>
        </is>
      </c>
      <c r="E326" t="inlineStr">
        <is>
          <t>GAGNEF</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6566-2022</t>
        </is>
      </c>
      <c r="B327" s="1" t="n">
        <v>44601</v>
      </c>
      <c r="C327" s="1" t="n">
        <v>46060</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44334-2024</t>
        </is>
      </c>
      <c r="B328" s="1" t="n">
        <v>45573.60828703704</v>
      </c>
      <c r="C328" s="1" t="n">
        <v>46060</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61871-2024</t>
        </is>
      </c>
      <c r="B329" s="1" t="n">
        <v>45651.8659375</v>
      </c>
      <c r="C329" s="1" t="n">
        <v>46060</v>
      </c>
      <c r="D329" t="inlineStr">
        <is>
          <t>DALARNAS LÄN</t>
        </is>
      </c>
      <c r="E329" t="inlineStr">
        <is>
          <t>GAGNEF</t>
        </is>
      </c>
      <c r="F329" t="inlineStr">
        <is>
          <t>Bergvik skog väst AB</t>
        </is>
      </c>
      <c r="G329" t="n">
        <v>10</v>
      </c>
      <c r="H329" t="n">
        <v>0</v>
      </c>
      <c r="I329" t="n">
        <v>0</v>
      </c>
      <c r="J329" t="n">
        <v>0</v>
      </c>
      <c r="K329" t="n">
        <v>0</v>
      </c>
      <c r="L329" t="n">
        <v>0</v>
      </c>
      <c r="M329" t="n">
        <v>0</v>
      </c>
      <c r="N329" t="n">
        <v>0</v>
      </c>
      <c r="O329" t="n">
        <v>0</v>
      </c>
      <c r="P329" t="n">
        <v>0</v>
      </c>
      <c r="Q329" t="n">
        <v>0</v>
      </c>
      <c r="R329" s="2" t="inlineStr"/>
    </row>
    <row r="330" ht="15" customHeight="1">
      <c r="A330" t="inlineStr">
        <is>
          <t>A 35814-2024</t>
        </is>
      </c>
      <c r="B330" s="1" t="n">
        <v>45532.65449074074</v>
      </c>
      <c r="C330" s="1" t="n">
        <v>46060</v>
      </c>
      <c r="D330" t="inlineStr">
        <is>
          <t>DALARNAS LÄN</t>
        </is>
      </c>
      <c r="E330" t="inlineStr">
        <is>
          <t>GAGNEF</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3316-2022</t>
        </is>
      </c>
      <c r="B331" s="1" t="n">
        <v>44585</v>
      </c>
      <c r="C331" s="1" t="n">
        <v>46060</v>
      </c>
      <c r="D331" t="inlineStr">
        <is>
          <t>DALARNAS LÄN</t>
        </is>
      </c>
      <c r="E331" t="inlineStr">
        <is>
          <t>GAGNEF</t>
        </is>
      </c>
      <c r="G331" t="n">
        <v>2.1</v>
      </c>
      <c r="H331" t="n">
        <v>0</v>
      </c>
      <c r="I331" t="n">
        <v>0</v>
      </c>
      <c r="J331" t="n">
        <v>0</v>
      </c>
      <c r="K331" t="n">
        <v>0</v>
      </c>
      <c r="L331" t="n">
        <v>0</v>
      </c>
      <c r="M331" t="n">
        <v>0</v>
      </c>
      <c r="N331" t="n">
        <v>0</v>
      </c>
      <c r="O331" t="n">
        <v>0</v>
      </c>
      <c r="P331" t="n">
        <v>0</v>
      </c>
      <c r="Q331" t="n">
        <v>0</v>
      </c>
      <c r="R331" s="2" t="inlineStr"/>
    </row>
    <row r="332" ht="15" customHeight="1">
      <c r="A332" t="inlineStr">
        <is>
          <t>A 51231-2023</t>
        </is>
      </c>
      <c r="B332" s="1" t="n">
        <v>45219</v>
      </c>
      <c r="C332" s="1" t="n">
        <v>46060</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31245-2024</t>
        </is>
      </c>
      <c r="B333" s="1" t="n">
        <v>45503.65226851852</v>
      </c>
      <c r="C333" s="1" t="n">
        <v>46060</v>
      </c>
      <c r="D333" t="inlineStr">
        <is>
          <t>DALARNAS LÄN</t>
        </is>
      </c>
      <c r="E333" t="inlineStr">
        <is>
          <t>GAGNEF</t>
        </is>
      </c>
      <c r="G333" t="n">
        <v>0.9</v>
      </c>
      <c r="H333" t="n">
        <v>0</v>
      </c>
      <c r="I333" t="n">
        <v>0</v>
      </c>
      <c r="J333" t="n">
        <v>0</v>
      </c>
      <c r="K333" t="n">
        <v>0</v>
      </c>
      <c r="L333" t="n">
        <v>0</v>
      </c>
      <c r="M333" t="n">
        <v>0</v>
      </c>
      <c r="N333" t="n">
        <v>0</v>
      </c>
      <c r="O333" t="n">
        <v>0</v>
      </c>
      <c r="P333" t="n">
        <v>0</v>
      </c>
      <c r="Q333" t="n">
        <v>0</v>
      </c>
      <c r="R333" s="2" t="inlineStr"/>
    </row>
    <row r="334" ht="15" customHeight="1">
      <c r="A334" t="inlineStr">
        <is>
          <t>A 59893-2021</t>
        </is>
      </c>
      <c r="B334" s="1" t="n">
        <v>44494</v>
      </c>
      <c r="C334" s="1" t="n">
        <v>46060</v>
      </c>
      <c r="D334" t="inlineStr">
        <is>
          <t>DALARNAS LÄN</t>
        </is>
      </c>
      <c r="E334" t="inlineStr">
        <is>
          <t>GAGNEF</t>
        </is>
      </c>
      <c r="G334" t="n">
        <v>1.6</v>
      </c>
      <c r="H334" t="n">
        <v>0</v>
      </c>
      <c r="I334" t="n">
        <v>0</v>
      </c>
      <c r="J334" t="n">
        <v>0</v>
      </c>
      <c r="K334" t="n">
        <v>0</v>
      </c>
      <c r="L334" t="n">
        <v>0</v>
      </c>
      <c r="M334" t="n">
        <v>0</v>
      </c>
      <c r="N334" t="n">
        <v>0</v>
      </c>
      <c r="O334" t="n">
        <v>0</v>
      </c>
      <c r="P334" t="n">
        <v>0</v>
      </c>
      <c r="Q334" t="n">
        <v>0</v>
      </c>
      <c r="R334" s="2" t="inlineStr"/>
    </row>
    <row r="335" ht="15" customHeight="1">
      <c r="A335" t="inlineStr">
        <is>
          <t>A 10995-2024</t>
        </is>
      </c>
      <c r="B335" s="1" t="n">
        <v>45370.55768518519</v>
      </c>
      <c r="C335" s="1" t="n">
        <v>46060</v>
      </c>
      <c r="D335" t="inlineStr">
        <is>
          <t>DALARNAS LÄN</t>
        </is>
      </c>
      <c r="E335" t="inlineStr">
        <is>
          <t>GAGNEF</t>
        </is>
      </c>
      <c r="G335" t="n">
        <v>2.4</v>
      </c>
      <c r="H335" t="n">
        <v>0</v>
      </c>
      <c r="I335" t="n">
        <v>0</v>
      </c>
      <c r="J335" t="n">
        <v>0</v>
      </c>
      <c r="K335" t="n">
        <v>0</v>
      </c>
      <c r="L335" t="n">
        <v>0</v>
      </c>
      <c r="M335" t="n">
        <v>0</v>
      </c>
      <c r="N335" t="n">
        <v>0</v>
      </c>
      <c r="O335" t="n">
        <v>0</v>
      </c>
      <c r="P335" t="n">
        <v>0</v>
      </c>
      <c r="Q335" t="n">
        <v>0</v>
      </c>
      <c r="R335" s="2" t="inlineStr"/>
    </row>
    <row r="336" ht="15" customHeight="1">
      <c r="A336" t="inlineStr">
        <is>
          <t>A 48805-2024</t>
        </is>
      </c>
      <c r="B336" s="1" t="n">
        <v>45593.66460648148</v>
      </c>
      <c r="C336" s="1" t="n">
        <v>46060</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604-2025</t>
        </is>
      </c>
      <c r="B337" s="1" t="n">
        <v>45664</v>
      </c>
      <c r="C337" s="1" t="n">
        <v>46060</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36011-2023</t>
        </is>
      </c>
      <c r="B338" s="1" t="n">
        <v>45148</v>
      </c>
      <c r="C338" s="1" t="n">
        <v>46060</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60667-2023</t>
        </is>
      </c>
      <c r="B339" s="1" t="n">
        <v>45260</v>
      </c>
      <c r="C339" s="1" t="n">
        <v>46060</v>
      </c>
      <c r="D339" t="inlineStr">
        <is>
          <t>DALARNAS LÄN</t>
        </is>
      </c>
      <c r="E339" t="inlineStr">
        <is>
          <t>GAGNEF</t>
        </is>
      </c>
      <c r="G339" t="n">
        <v>2.1</v>
      </c>
      <c r="H339" t="n">
        <v>0</v>
      </c>
      <c r="I339" t="n">
        <v>0</v>
      </c>
      <c r="J339" t="n">
        <v>0</v>
      </c>
      <c r="K339" t="n">
        <v>0</v>
      </c>
      <c r="L339" t="n">
        <v>0</v>
      </c>
      <c r="M339" t="n">
        <v>0</v>
      </c>
      <c r="N339" t="n">
        <v>0</v>
      </c>
      <c r="O339" t="n">
        <v>0</v>
      </c>
      <c r="P339" t="n">
        <v>0</v>
      </c>
      <c r="Q339" t="n">
        <v>0</v>
      </c>
      <c r="R339" s="2" t="inlineStr"/>
    </row>
    <row r="340" ht="15" customHeight="1">
      <c r="A340" t="inlineStr">
        <is>
          <t>A 56807-2023</t>
        </is>
      </c>
      <c r="B340" s="1" t="n">
        <v>45244</v>
      </c>
      <c r="C340" s="1" t="n">
        <v>46060</v>
      </c>
      <c r="D340" t="inlineStr">
        <is>
          <t>DALARNAS LÄN</t>
        </is>
      </c>
      <c r="E340" t="inlineStr">
        <is>
          <t>GAGNEF</t>
        </is>
      </c>
      <c r="G340" t="n">
        <v>10.9</v>
      </c>
      <c r="H340" t="n">
        <v>0</v>
      </c>
      <c r="I340" t="n">
        <v>0</v>
      </c>
      <c r="J340" t="n">
        <v>0</v>
      </c>
      <c r="K340" t="n">
        <v>0</v>
      </c>
      <c r="L340" t="n">
        <v>0</v>
      </c>
      <c r="M340" t="n">
        <v>0</v>
      </c>
      <c r="N340" t="n">
        <v>0</v>
      </c>
      <c r="O340" t="n">
        <v>0</v>
      </c>
      <c r="P340" t="n">
        <v>0</v>
      </c>
      <c r="Q340" t="n">
        <v>0</v>
      </c>
      <c r="R340" s="2" t="inlineStr"/>
    </row>
    <row r="341" ht="15" customHeight="1">
      <c r="A341" t="inlineStr">
        <is>
          <t>A 51138-2022</t>
        </is>
      </c>
      <c r="B341" s="1" t="n">
        <v>44868</v>
      </c>
      <c r="C341" s="1" t="n">
        <v>46060</v>
      </c>
      <c r="D341" t="inlineStr">
        <is>
          <t>DALARNAS LÄN</t>
        </is>
      </c>
      <c r="E341" t="inlineStr">
        <is>
          <t>GAGNEF</t>
        </is>
      </c>
      <c r="G341" t="n">
        <v>0.6</v>
      </c>
      <c r="H341" t="n">
        <v>0</v>
      </c>
      <c r="I341" t="n">
        <v>0</v>
      </c>
      <c r="J341" t="n">
        <v>0</v>
      </c>
      <c r="K341" t="n">
        <v>0</v>
      </c>
      <c r="L341" t="n">
        <v>0</v>
      </c>
      <c r="M341" t="n">
        <v>0</v>
      </c>
      <c r="N341" t="n">
        <v>0</v>
      </c>
      <c r="O341" t="n">
        <v>0</v>
      </c>
      <c r="P341" t="n">
        <v>0</v>
      </c>
      <c r="Q341" t="n">
        <v>0</v>
      </c>
      <c r="R341" s="2" t="inlineStr"/>
    </row>
    <row r="342" ht="15" customHeight="1">
      <c r="A342" t="inlineStr">
        <is>
          <t>A 5347-2025</t>
        </is>
      </c>
      <c r="B342" s="1" t="n">
        <v>45692.55440972222</v>
      </c>
      <c r="C342" s="1" t="n">
        <v>46060</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5859-2025</t>
        </is>
      </c>
      <c r="B343" s="1" t="n">
        <v>45695.34581018519</v>
      </c>
      <c r="C343" s="1" t="n">
        <v>46060</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36005-2023</t>
        </is>
      </c>
      <c r="B344" s="1" t="n">
        <v>45148</v>
      </c>
      <c r="C344" s="1" t="n">
        <v>46060</v>
      </c>
      <c r="D344" t="inlineStr">
        <is>
          <t>DALARNAS LÄN</t>
        </is>
      </c>
      <c r="E344" t="inlineStr">
        <is>
          <t>GAGNEF</t>
        </is>
      </c>
      <c r="G344" t="n">
        <v>1.2</v>
      </c>
      <c r="H344" t="n">
        <v>0</v>
      </c>
      <c r="I344" t="n">
        <v>0</v>
      </c>
      <c r="J344" t="n">
        <v>0</v>
      </c>
      <c r="K344" t="n">
        <v>0</v>
      </c>
      <c r="L344" t="n">
        <v>0</v>
      </c>
      <c r="M344" t="n">
        <v>0</v>
      </c>
      <c r="N344" t="n">
        <v>0</v>
      </c>
      <c r="O344" t="n">
        <v>0</v>
      </c>
      <c r="P344" t="n">
        <v>0</v>
      </c>
      <c r="Q344" t="n">
        <v>0</v>
      </c>
      <c r="R344" s="2" t="inlineStr"/>
    </row>
    <row r="345" ht="15" customHeight="1">
      <c r="A345" t="inlineStr">
        <is>
          <t>A 41368-2023</t>
        </is>
      </c>
      <c r="B345" s="1" t="n">
        <v>45174</v>
      </c>
      <c r="C345" s="1" t="n">
        <v>46060</v>
      </c>
      <c r="D345" t="inlineStr">
        <is>
          <t>DALARNAS LÄN</t>
        </is>
      </c>
      <c r="E345" t="inlineStr">
        <is>
          <t>GAGNEF</t>
        </is>
      </c>
      <c r="G345" t="n">
        <v>0.2</v>
      </c>
      <c r="H345" t="n">
        <v>0</v>
      </c>
      <c r="I345" t="n">
        <v>0</v>
      </c>
      <c r="J345" t="n">
        <v>0</v>
      </c>
      <c r="K345" t="n">
        <v>0</v>
      </c>
      <c r="L345" t="n">
        <v>0</v>
      </c>
      <c r="M345" t="n">
        <v>0</v>
      </c>
      <c r="N345" t="n">
        <v>0</v>
      </c>
      <c r="O345" t="n">
        <v>0</v>
      </c>
      <c r="P345" t="n">
        <v>0</v>
      </c>
      <c r="Q345" t="n">
        <v>0</v>
      </c>
      <c r="R345" s="2" t="inlineStr"/>
    </row>
    <row r="346" ht="15" customHeight="1">
      <c r="A346" t="inlineStr">
        <is>
          <t>A 23654-2023</t>
        </is>
      </c>
      <c r="B346" s="1" t="n">
        <v>45077</v>
      </c>
      <c r="C346" s="1" t="n">
        <v>46060</v>
      </c>
      <c r="D346" t="inlineStr">
        <is>
          <t>DALARNAS LÄN</t>
        </is>
      </c>
      <c r="E346" t="inlineStr">
        <is>
          <t>GAGNEF</t>
        </is>
      </c>
      <c r="G346" t="n">
        <v>3</v>
      </c>
      <c r="H346" t="n">
        <v>0</v>
      </c>
      <c r="I346" t="n">
        <v>0</v>
      </c>
      <c r="J346" t="n">
        <v>0</v>
      </c>
      <c r="K346" t="n">
        <v>0</v>
      </c>
      <c r="L346" t="n">
        <v>0</v>
      </c>
      <c r="M346" t="n">
        <v>0</v>
      </c>
      <c r="N346" t="n">
        <v>0</v>
      </c>
      <c r="O346" t="n">
        <v>0</v>
      </c>
      <c r="P346" t="n">
        <v>0</v>
      </c>
      <c r="Q346" t="n">
        <v>0</v>
      </c>
      <c r="R346" s="2" t="inlineStr"/>
    </row>
    <row r="347" ht="15" customHeight="1">
      <c r="A347" t="inlineStr">
        <is>
          <t>A 5294-2025</t>
        </is>
      </c>
      <c r="B347" s="1" t="n">
        <v>45692.44940972222</v>
      </c>
      <c r="C347" s="1" t="n">
        <v>46060</v>
      </c>
      <c r="D347" t="inlineStr">
        <is>
          <t>DALARNAS LÄN</t>
        </is>
      </c>
      <c r="E347" t="inlineStr">
        <is>
          <t>GAGNEF</t>
        </is>
      </c>
      <c r="G347" t="n">
        <v>6.2</v>
      </c>
      <c r="H347" t="n">
        <v>0</v>
      </c>
      <c r="I347" t="n">
        <v>0</v>
      </c>
      <c r="J347" t="n">
        <v>0</v>
      </c>
      <c r="K347" t="n">
        <v>0</v>
      </c>
      <c r="L347" t="n">
        <v>0</v>
      </c>
      <c r="M347" t="n">
        <v>0</v>
      </c>
      <c r="N347" t="n">
        <v>0</v>
      </c>
      <c r="O347" t="n">
        <v>0</v>
      </c>
      <c r="P347" t="n">
        <v>0</v>
      </c>
      <c r="Q347" t="n">
        <v>0</v>
      </c>
      <c r="R347" s="2" t="inlineStr"/>
    </row>
    <row r="348" ht="15" customHeight="1">
      <c r="A348" t="inlineStr">
        <is>
          <t>A 28559-2024</t>
        </is>
      </c>
      <c r="B348" s="1" t="n">
        <v>45478.38052083334</v>
      </c>
      <c r="C348" s="1" t="n">
        <v>46060</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15285-2025</t>
        </is>
      </c>
      <c r="B349" s="1" t="n">
        <v>45744.9047337963</v>
      </c>
      <c r="C349" s="1" t="n">
        <v>46060</v>
      </c>
      <c r="D349" t="inlineStr">
        <is>
          <t>DALARNAS LÄN</t>
        </is>
      </c>
      <c r="E349" t="inlineStr">
        <is>
          <t>GAGNEF</t>
        </is>
      </c>
      <c r="G349" t="n">
        <v>1.1</v>
      </c>
      <c r="H349" t="n">
        <v>0</v>
      </c>
      <c r="I349" t="n">
        <v>0</v>
      </c>
      <c r="J349" t="n">
        <v>0</v>
      </c>
      <c r="K349" t="n">
        <v>0</v>
      </c>
      <c r="L349" t="n">
        <v>0</v>
      </c>
      <c r="M349" t="n">
        <v>0</v>
      </c>
      <c r="N349" t="n">
        <v>0</v>
      </c>
      <c r="O349" t="n">
        <v>0</v>
      </c>
      <c r="P349" t="n">
        <v>0</v>
      </c>
      <c r="Q349" t="n">
        <v>0</v>
      </c>
      <c r="R349" s="2" t="inlineStr"/>
    </row>
    <row r="350" ht="15" customHeight="1">
      <c r="A350" t="inlineStr">
        <is>
          <t>A 48645-2021</t>
        </is>
      </c>
      <c r="B350" s="1" t="n">
        <v>44452.52619212963</v>
      </c>
      <c r="C350" s="1" t="n">
        <v>46060</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19197-2023</t>
        </is>
      </c>
      <c r="B351" s="1" t="n">
        <v>45048</v>
      </c>
      <c r="C351" s="1" t="n">
        <v>46060</v>
      </c>
      <c r="D351" t="inlineStr">
        <is>
          <t>DALARNAS LÄN</t>
        </is>
      </c>
      <c r="E351" t="inlineStr">
        <is>
          <t>GAGNEF</t>
        </is>
      </c>
      <c r="G351" t="n">
        <v>0.5</v>
      </c>
      <c r="H351" t="n">
        <v>0</v>
      </c>
      <c r="I351" t="n">
        <v>0</v>
      </c>
      <c r="J351" t="n">
        <v>0</v>
      </c>
      <c r="K351" t="n">
        <v>0</v>
      </c>
      <c r="L351" t="n">
        <v>0</v>
      </c>
      <c r="M351" t="n">
        <v>0</v>
      </c>
      <c r="N351" t="n">
        <v>0</v>
      </c>
      <c r="O351" t="n">
        <v>0</v>
      </c>
      <c r="P351" t="n">
        <v>0</v>
      </c>
      <c r="Q351" t="n">
        <v>0</v>
      </c>
      <c r="R351" s="2" t="inlineStr"/>
    </row>
    <row r="352" ht="15" customHeight="1">
      <c r="A352" t="inlineStr">
        <is>
          <t>A 15684-2024</t>
        </is>
      </c>
      <c r="B352" s="1" t="n">
        <v>45404.43857638889</v>
      </c>
      <c r="C352" s="1" t="n">
        <v>46060</v>
      </c>
      <c r="D352" t="inlineStr">
        <is>
          <t>DALARNAS LÄN</t>
        </is>
      </c>
      <c r="E352" t="inlineStr">
        <is>
          <t>GAGNEF</t>
        </is>
      </c>
      <c r="G352" t="n">
        <v>1.8</v>
      </c>
      <c r="H352" t="n">
        <v>0</v>
      </c>
      <c r="I352" t="n">
        <v>0</v>
      </c>
      <c r="J352" t="n">
        <v>0</v>
      </c>
      <c r="K352" t="n">
        <v>0</v>
      </c>
      <c r="L352" t="n">
        <v>0</v>
      </c>
      <c r="M352" t="n">
        <v>0</v>
      </c>
      <c r="N352" t="n">
        <v>0</v>
      </c>
      <c r="O352" t="n">
        <v>0</v>
      </c>
      <c r="P352" t="n">
        <v>0</v>
      </c>
      <c r="Q352" t="n">
        <v>0</v>
      </c>
      <c r="R352" s="2" t="inlineStr"/>
    </row>
    <row r="353" ht="15" customHeight="1">
      <c r="A353" t="inlineStr">
        <is>
          <t>A 43915-2024</t>
        </is>
      </c>
      <c r="B353" s="1" t="n">
        <v>45572.43608796296</v>
      </c>
      <c r="C353" s="1" t="n">
        <v>46060</v>
      </c>
      <c r="D353" t="inlineStr">
        <is>
          <t>DALARNAS LÄN</t>
        </is>
      </c>
      <c r="E353" t="inlineStr">
        <is>
          <t>GAGNEF</t>
        </is>
      </c>
      <c r="G353" t="n">
        <v>3.5</v>
      </c>
      <c r="H353" t="n">
        <v>0</v>
      </c>
      <c r="I353" t="n">
        <v>0</v>
      </c>
      <c r="J353" t="n">
        <v>0</v>
      </c>
      <c r="K353" t="n">
        <v>0</v>
      </c>
      <c r="L353" t="n">
        <v>0</v>
      </c>
      <c r="M353" t="n">
        <v>0</v>
      </c>
      <c r="N353" t="n">
        <v>0</v>
      </c>
      <c r="O353" t="n">
        <v>0</v>
      </c>
      <c r="P353" t="n">
        <v>0</v>
      </c>
      <c r="Q353" t="n">
        <v>0</v>
      </c>
      <c r="R353" s="2" t="inlineStr"/>
    </row>
    <row r="354" ht="15" customHeight="1">
      <c r="A354" t="inlineStr">
        <is>
          <t>A 9616-2024</t>
        </is>
      </c>
      <c r="B354" s="1" t="n">
        <v>45361</v>
      </c>
      <c r="C354" s="1" t="n">
        <v>46060</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43911-2024</t>
        </is>
      </c>
      <c r="B355" s="1" t="n">
        <v>45572.43356481481</v>
      </c>
      <c r="C355" s="1" t="n">
        <v>46060</v>
      </c>
      <c r="D355" t="inlineStr">
        <is>
          <t>DALARNAS LÄN</t>
        </is>
      </c>
      <c r="E355" t="inlineStr">
        <is>
          <t>GAGNEF</t>
        </is>
      </c>
      <c r="G355" t="n">
        <v>1</v>
      </c>
      <c r="H355" t="n">
        <v>0</v>
      </c>
      <c r="I355" t="n">
        <v>0</v>
      </c>
      <c r="J355" t="n">
        <v>0</v>
      </c>
      <c r="K355" t="n">
        <v>0</v>
      </c>
      <c r="L355" t="n">
        <v>0</v>
      </c>
      <c r="M355" t="n">
        <v>0</v>
      </c>
      <c r="N355" t="n">
        <v>0</v>
      </c>
      <c r="O355" t="n">
        <v>0</v>
      </c>
      <c r="P355" t="n">
        <v>0</v>
      </c>
      <c r="Q355" t="n">
        <v>0</v>
      </c>
      <c r="R355" s="2" t="inlineStr"/>
    </row>
    <row r="356" ht="15" customHeight="1">
      <c r="A356" t="inlineStr">
        <is>
          <t>A 43913-2024</t>
        </is>
      </c>
      <c r="B356" s="1" t="n">
        <v>45572</v>
      </c>
      <c r="C356" s="1" t="n">
        <v>46060</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42596-2021</t>
        </is>
      </c>
      <c r="B357" s="1" t="n">
        <v>44428.37861111111</v>
      </c>
      <c r="C357" s="1" t="n">
        <v>46060</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19344-2025</t>
        </is>
      </c>
      <c r="B358" s="1" t="n">
        <v>45769.59975694444</v>
      </c>
      <c r="C358" s="1" t="n">
        <v>46060</v>
      </c>
      <c r="D358" t="inlineStr">
        <is>
          <t>DALARNAS LÄN</t>
        </is>
      </c>
      <c r="E358" t="inlineStr">
        <is>
          <t>GAGNEF</t>
        </is>
      </c>
      <c r="G358" t="n">
        <v>3.4</v>
      </c>
      <c r="H358" t="n">
        <v>0</v>
      </c>
      <c r="I358" t="n">
        <v>0</v>
      </c>
      <c r="J358" t="n">
        <v>0</v>
      </c>
      <c r="K358" t="n">
        <v>0</v>
      </c>
      <c r="L358" t="n">
        <v>0</v>
      </c>
      <c r="M358" t="n">
        <v>0</v>
      </c>
      <c r="N358" t="n">
        <v>0</v>
      </c>
      <c r="O358" t="n">
        <v>0</v>
      </c>
      <c r="P358" t="n">
        <v>0</v>
      </c>
      <c r="Q358" t="n">
        <v>0</v>
      </c>
      <c r="R358" s="2" t="inlineStr"/>
    </row>
    <row r="359" ht="15" customHeight="1">
      <c r="A359" t="inlineStr">
        <is>
          <t>A 8867-2025</t>
        </is>
      </c>
      <c r="B359" s="1" t="n">
        <v>45713.36719907408</v>
      </c>
      <c r="C359" s="1" t="n">
        <v>46060</v>
      </c>
      <c r="D359" t="inlineStr">
        <is>
          <t>DALARNAS LÄN</t>
        </is>
      </c>
      <c r="E359" t="inlineStr">
        <is>
          <t>GAGNEF</t>
        </is>
      </c>
      <c r="G359" t="n">
        <v>0.8</v>
      </c>
      <c r="H359" t="n">
        <v>0</v>
      </c>
      <c r="I359" t="n">
        <v>0</v>
      </c>
      <c r="J359" t="n">
        <v>0</v>
      </c>
      <c r="K359" t="n">
        <v>0</v>
      </c>
      <c r="L359" t="n">
        <v>0</v>
      </c>
      <c r="M359" t="n">
        <v>0</v>
      </c>
      <c r="N359" t="n">
        <v>0</v>
      </c>
      <c r="O359" t="n">
        <v>0</v>
      </c>
      <c r="P359" t="n">
        <v>0</v>
      </c>
      <c r="Q359" t="n">
        <v>0</v>
      </c>
      <c r="R359" s="2" t="inlineStr"/>
    </row>
    <row r="360" ht="15" customHeight="1">
      <c r="A360" t="inlineStr">
        <is>
          <t>A 42704-2024</t>
        </is>
      </c>
      <c r="B360" s="1" t="n">
        <v>45566.43722222222</v>
      </c>
      <c r="C360" s="1" t="n">
        <v>46060</v>
      </c>
      <c r="D360" t="inlineStr">
        <is>
          <t>DALARNAS LÄN</t>
        </is>
      </c>
      <c r="E360" t="inlineStr">
        <is>
          <t>GAGNEF</t>
        </is>
      </c>
      <c r="G360" t="n">
        <v>3.5</v>
      </c>
      <c r="H360" t="n">
        <v>0</v>
      </c>
      <c r="I360" t="n">
        <v>0</v>
      </c>
      <c r="J360" t="n">
        <v>0</v>
      </c>
      <c r="K360" t="n">
        <v>0</v>
      </c>
      <c r="L360" t="n">
        <v>0</v>
      </c>
      <c r="M360" t="n">
        <v>0</v>
      </c>
      <c r="N360" t="n">
        <v>0</v>
      </c>
      <c r="O360" t="n">
        <v>0</v>
      </c>
      <c r="P360" t="n">
        <v>0</v>
      </c>
      <c r="Q360" t="n">
        <v>0</v>
      </c>
      <c r="R360" s="2" t="inlineStr"/>
    </row>
    <row r="361" ht="15" customHeight="1">
      <c r="A361" t="inlineStr">
        <is>
          <t>A 42713-2024</t>
        </is>
      </c>
      <c r="B361" s="1" t="n">
        <v>45566</v>
      </c>
      <c r="C361" s="1" t="n">
        <v>46060</v>
      </c>
      <c r="D361" t="inlineStr">
        <is>
          <t>DALARNAS LÄN</t>
        </is>
      </c>
      <c r="E361" t="inlineStr">
        <is>
          <t>GAGNEF</t>
        </is>
      </c>
      <c r="G361" t="n">
        <v>1.5</v>
      </c>
      <c r="H361" t="n">
        <v>0</v>
      </c>
      <c r="I361" t="n">
        <v>0</v>
      </c>
      <c r="J361" t="n">
        <v>0</v>
      </c>
      <c r="K361" t="n">
        <v>0</v>
      </c>
      <c r="L361" t="n">
        <v>0</v>
      </c>
      <c r="M361" t="n">
        <v>0</v>
      </c>
      <c r="N361" t="n">
        <v>0</v>
      </c>
      <c r="O361" t="n">
        <v>0</v>
      </c>
      <c r="P361" t="n">
        <v>0</v>
      </c>
      <c r="Q361" t="n">
        <v>0</v>
      </c>
      <c r="R361" s="2" t="inlineStr"/>
    </row>
    <row r="362" ht="15" customHeight="1">
      <c r="A362" t="inlineStr">
        <is>
          <t>A 3642-2025</t>
        </is>
      </c>
      <c r="B362" s="1" t="n">
        <v>45681.39009259259</v>
      </c>
      <c r="C362" s="1" t="n">
        <v>46060</v>
      </c>
      <c r="D362" t="inlineStr">
        <is>
          <t>DALARNAS LÄN</t>
        </is>
      </c>
      <c r="E362" t="inlineStr">
        <is>
          <t>GAGNEF</t>
        </is>
      </c>
      <c r="G362" t="n">
        <v>4.7</v>
      </c>
      <c r="H362" t="n">
        <v>0</v>
      </c>
      <c r="I362" t="n">
        <v>0</v>
      </c>
      <c r="J362" t="n">
        <v>0</v>
      </c>
      <c r="K362" t="n">
        <v>0</v>
      </c>
      <c r="L362" t="n">
        <v>0</v>
      </c>
      <c r="M362" t="n">
        <v>0</v>
      </c>
      <c r="N362" t="n">
        <v>0</v>
      </c>
      <c r="O362" t="n">
        <v>0</v>
      </c>
      <c r="P362" t="n">
        <v>0</v>
      </c>
      <c r="Q362" t="n">
        <v>0</v>
      </c>
      <c r="R362" s="2" t="inlineStr"/>
    </row>
    <row r="363" ht="15" customHeight="1">
      <c r="A363" t="inlineStr">
        <is>
          <t>A 20771-2025</t>
        </is>
      </c>
      <c r="B363" s="1" t="n">
        <v>45776.58692129629</v>
      </c>
      <c r="C363" s="1" t="n">
        <v>46060</v>
      </c>
      <c r="D363" t="inlineStr">
        <is>
          <t>DALARNAS LÄN</t>
        </is>
      </c>
      <c r="E363" t="inlineStr">
        <is>
          <t>GAGNEF</t>
        </is>
      </c>
      <c r="G363" t="n">
        <v>10.5</v>
      </c>
      <c r="H363" t="n">
        <v>0</v>
      </c>
      <c r="I363" t="n">
        <v>0</v>
      </c>
      <c r="J363" t="n">
        <v>0</v>
      </c>
      <c r="K363" t="n">
        <v>0</v>
      </c>
      <c r="L363" t="n">
        <v>0</v>
      </c>
      <c r="M363" t="n">
        <v>0</v>
      </c>
      <c r="N363" t="n">
        <v>0</v>
      </c>
      <c r="O363" t="n">
        <v>0</v>
      </c>
      <c r="P363" t="n">
        <v>0</v>
      </c>
      <c r="Q363" t="n">
        <v>0</v>
      </c>
      <c r="R363" s="2" t="inlineStr"/>
    </row>
    <row r="364" ht="15" customHeight="1">
      <c r="A364" t="inlineStr">
        <is>
          <t>A 36127-2024</t>
        </is>
      </c>
      <c r="B364" s="1" t="n">
        <v>45534.3334375</v>
      </c>
      <c r="C364" s="1" t="n">
        <v>46060</v>
      </c>
      <c r="D364" t="inlineStr">
        <is>
          <t>DALARNAS LÄN</t>
        </is>
      </c>
      <c r="E364" t="inlineStr">
        <is>
          <t>GAGNEF</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24862-2024</t>
        </is>
      </c>
      <c r="B365" s="1" t="n">
        <v>45461.48384259259</v>
      </c>
      <c r="C365" s="1" t="n">
        <v>46060</v>
      </c>
      <c r="D365" t="inlineStr">
        <is>
          <t>DALARNAS LÄN</t>
        </is>
      </c>
      <c r="E365" t="inlineStr">
        <is>
          <t>GAGNEF</t>
        </is>
      </c>
      <c r="G365" t="n">
        <v>2.3</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46060</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27814-2024</t>
        </is>
      </c>
      <c r="B367" s="1" t="n">
        <v>45475.5928587963</v>
      </c>
      <c r="C367" s="1" t="n">
        <v>46060</v>
      </c>
      <c r="D367" t="inlineStr">
        <is>
          <t>DALARNAS LÄN</t>
        </is>
      </c>
      <c r="E367" t="inlineStr">
        <is>
          <t>GAGNEF</t>
        </is>
      </c>
      <c r="G367" t="n">
        <v>3.8</v>
      </c>
      <c r="H367" t="n">
        <v>0</v>
      </c>
      <c r="I367" t="n">
        <v>0</v>
      </c>
      <c r="J367" t="n">
        <v>0</v>
      </c>
      <c r="K367" t="n">
        <v>0</v>
      </c>
      <c r="L367" t="n">
        <v>0</v>
      </c>
      <c r="M367" t="n">
        <v>0</v>
      </c>
      <c r="N367" t="n">
        <v>0</v>
      </c>
      <c r="O367" t="n">
        <v>0</v>
      </c>
      <c r="P367" t="n">
        <v>0</v>
      </c>
      <c r="Q367" t="n">
        <v>0</v>
      </c>
      <c r="R367" s="2" t="inlineStr"/>
    </row>
    <row r="368" ht="15" customHeight="1">
      <c r="A368" t="inlineStr">
        <is>
          <t>A 8491-2025</t>
        </is>
      </c>
      <c r="B368" s="1" t="n">
        <v>45709.50834490741</v>
      </c>
      <c r="C368" s="1" t="n">
        <v>46060</v>
      </c>
      <c r="D368" t="inlineStr">
        <is>
          <t>DALARNAS LÄN</t>
        </is>
      </c>
      <c r="E368" t="inlineStr">
        <is>
          <t>GAGNEF</t>
        </is>
      </c>
      <c r="G368" t="n">
        <v>3.2</v>
      </c>
      <c r="H368" t="n">
        <v>0</v>
      </c>
      <c r="I368" t="n">
        <v>0</v>
      </c>
      <c r="J368" t="n">
        <v>0</v>
      </c>
      <c r="K368" t="n">
        <v>0</v>
      </c>
      <c r="L368" t="n">
        <v>0</v>
      </c>
      <c r="M368" t="n">
        <v>0</v>
      </c>
      <c r="N368" t="n">
        <v>0</v>
      </c>
      <c r="O368" t="n">
        <v>0</v>
      </c>
      <c r="P368" t="n">
        <v>0</v>
      </c>
      <c r="Q368" t="n">
        <v>0</v>
      </c>
      <c r="R368" s="2" t="inlineStr"/>
    </row>
    <row r="369" ht="15" customHeight="1">
      <c r="A369" t="inlineStr">
        <is>
          <t>A 11349-2023</t>
        </is>
      </c>
      <c r="B369" s="1" t="n">
        <v>44993</v>
      </c>
      <c r="C369" s="1" t="n">
        <v>46060</v>
      </c>
      <c r="D369" t="inlineStr">
        <is>
          <t>DALARNAS LÄN</t>
        </is>
      </c>
      <c r="E369" t="inlineStr">
        <is>
          <t>GAGNEF</t>
        </is>
      </c>
      <c r="G369" t="n">
        <v>5.8</v>
      </c>
      <c r="H369" t="n">
        <v>0</v>
      </c>
      <c r="I369" t="n">
        <v>0</v>
      </c>
      <c r="J369" t="n">
        <v>0</v>
      </c>
      <c r="K369" t="n">
        <v>0</v>
      </c>
      <c r="L369" t="n">
        <v>0</v>
      </c>
      <c r="M369" t="n">
        <v>0</v>
      </c>
      <c r="N369" t="n">
        <v>0</v>
      </c>
      <c r="O369" t="n">
        <v>0</v>
      </c>
      <c r="P369" t="n">
        <v>0</v>
      </c>
      <c r="Q369" t="n">
        <v>0</v>
      </c>
      <c r="R369" s="2" t="inlineStr"/>
    </row>
    <row r="370" ht="15" customHeight="1">
      <c r="A370" t="inlineStr">
        <is>
          <t>A 30635-2024</t>
        </is>
      </c>
      <c r="B370" s="1" t="n">
        <v>45495.54474537037</v>
      </c>
      <c r="C370" s="1" t="n">
        <v>46060</v>
      </c>
      <c r="D370" t="inlineStr">
        <is>
          <t>DALARNAS LÄN</t>
        </is>
      </c>
      <c r="E370" t="inlineStr">
        <is>
          <t>GAGNEF</t>
        </is>
      </c>
      <c r="G370" t="n">
        <v>1.9</v>
      </c>
      <c r="H370" t="n">
        <v>0</v>
      </c>
      <c r="I370" t="n">
        <v>0</v>
      </c>
      <c r="J370" t="n">
        <v>0</v>
      </c>
      <c r="K370" t="n">
        <v>0</v>
      </c>
      <c r="L370" t="n">
        <v>0</v>
      </c>
      <c r="M370" t="n">
        <v>0</v>
      </c>
      <c r="N370" t="n">
        <v>0</v>
      </c>
      <c r="O370" t="n">
        <v>0</v>
      </c>
      <c r="P370" t="n">
        <v>0</v>
      </c>
      <c r="Q370" t="n">
        <v>0</v>
      </c>
      <c r="R370" s="2" t="inlineStr"/>
    </row>
    <row r="371" ht="15" customHeight="1">
      <c r="A371" t="inlineStr">
        <is>
          <t>A 27668-2023</t>
        </is>
      </c>
      <c r="B371" s="1" t="n">
        <v>45097</v>
      </c>
      <c r="C371" s="1" t="n">
        <v>46060</v>
      </c>
      <c r="D371" t="inlineStr">
        <is>
          <t>DALARNAS LÄN</t>
        </is>
      </c>
      <c r="E371" t="inlineStr">
        <is>
          <t>GAGNEF</t>
        </is>
      </c>
      <c r="G371" t="n">
        <v>1.4</v>
      </c>
      <c r="H371" t="n">
        <v>0</v>
      </c>
      <c r="I371" t="n">
        <v>0</v>
      </c>
      <c r="J371" t="n">
        <v>0</v>
      </c>
      <c r="K371" t="n">
        <v>0</v>
      </c>
      <c r="L371" t="n">
        <v>0</v>
      </c>
      <c r="M371" t="n">
        <v>0</v>
      </c>
      <c r="N371" t="n">
        <v>0</v>
      </c>
      <c r="O371" t="n">
        <v>0</v>
      </c>
      <c r="P371" t="n">
        <v>0</v>
      </c>
      <c r="Q371" t="n">
        <v>0</v>
      </c>
      <c r="R371" s="2" t="inlineStr"/>
    </row>
    <row r="372" ht="15" customHeight="1">
      <c r="A372" t="inlineStr">
        <is>
          <t>A 42607-2024</t>
        </is>
      </c>
      <c r="B372" s="1" t="n">
        <v>45565.76509259259</v>
      </c>
      <c r="C372" s="1" t="n">
        <v>46060</v>
      </c>
      <c r="D372" t="inlineStr">
        <is>
          <t>DALARNAS LÄN</t>
        </is>
      </c>
      <c r="E372" t="inlineStr">
        <is>
          <t>GAGNEF</t>
        </is>
      </c>
      <c r="G372" t="n">
        <v>2.6</v>
      </c>
      <c r="H372" t="n">
        <v>0</v>
      </c>
      <c r="I372" t="n">
        <v>0</v>
      </c>
      <c r="J372" t="n">
        <v>0</v>
      </c>
      <c r="K372" t="n">
        <v>0</v>
      </c>
      <c r="L372" t="n">
        <v>0</v>
      </c>
      <c r="M372" t="n">
        <v>0</v>
      </c>
      <c r="N372" t="n">
        <v>0</v>
      </c>
      <c r="O372" t="n">
        <v>0</v>
      </c>
      <c r="P372" t="n">
        <v>0</v>
      </c>
      <c r="Q372" t="n">
        <v>0</v>
      </c>
      <c r="R372" s="2" t="inlineStr"/>
    </row>
    <row r="373" ht="15" customHeight="1">
      <c r="A373" t="inlineStr">
        <is>
          <t>A 22856-2025</t>
        </is>
      </c>
      <c r="B373" s="1" t="n">
        <v>45789</v>
      </c>
      <c r="C373" s="1" t="n">
        <v>46060</v>
      </c>
      <c r="D373" t="inlineStr">
        <is>
          <t>DALARNAS LÄN</t>
        </is>
      </c>
      <c r="E373" t="inlineStr">
        <is>
          <t>GAGNEF</t>
        </is>
      </c>
      <c r="G373" t="n">
        <v>2.9</v>
      </c>
      <c r="H373" t="n">
        <v>0</v>
      </c>
      <c r="I373" t="n">
        <v>0</v>
      </c>
      <c r="J373" t="n">
        <v>0</v>
      </c>
      <c r="K373" t="n">
        <v>0</v>
      </c>
      <c r="L373" t="n">
        <v>0</v>
      </c>
      <c r="M373" t="n">
        <v>0</v>
      </c>
      <c r="N373" t="n">
        <v>0</v>
      </c>
      <c r="O373" t="n">
        <v>0</v>
      </c>
      <c r="P373" t="n">
        <v>0</v>
      </c>
      <c r="Q373" t="n">
        <v>0</v>
      </c>
      <c r="R373" s="2" t="inlineStr"/>
    </row>
    <row r="374" ht="15" customHeight="1">
      <c r="A374" t="inlineStr">
        <is>
          <t>A 22273-2025</t>
        </is>
      </c>
      <c r="B374" s="1" t="n">
        <v>45785.94997685185</v>
      </c>
      <c r="C374" s="1" t="n">
        <v>46060</v>
      </c>
      <c r="D374" t="inlineStr">
        <is>
          <t>DALARNAS LÄN</t>
        </is>
      </c>
      <c r="E374" t="inlineStr">
        <is>
          <t>GAGNEF</t>
        </is>
      </c>
      <c r="G374" t="n">
        <v>2.4</v>
      </c>
      <c r="H374" t="n">
        <v>0</v>
      </c>
      <c r="I374" t="n">
        <v>0</v>
      </c>
      <c r="J374" t="n">
        <v>0</v>
      </c>
      <c r="K374" t="n">
        <v>0</v>
      </c>
      <c r="L374" t="n">
        <v>0</v>
      </c>
      <c r="M374" t="n">
        <v>0</v>
      </c>
      <c r="N374" t="n">
        <v>0</v>
      </c>
      <c r="O374" t="n">
        <v>0</v>
      </c>
      <c r="P374" t="n">
        <v>0</v>
      </c>
      <c r="Q374" t="n">
        <v>0</v>
      </c>
      <c r="R374" s="2" t="inlineStr"/>
    </row>
    <row r="375" ht="15" customHeight="1">
      <c r="A375" t="inlineStr">
        <is>
          <t>A 23488-2024</t>
        </is>
      </c>
      <c r="B375" s="1" t="n">
        <v>45453.67690972222</v>
      </c>
      <c r="C375" s="1" t="n">
        <v>46060</v>
      </c>
      <c r="D375" t="inlineStr">
        <is>
          <t>DALARNAS LÄN</t>
        </is>
      </c>
      <c r="E375" t="inlineStr">
        <is>
          <t>GAGNEF</t>
        </is>
      </c>
      <c r="G375" t="n">
        <v>1.1</v>
      </c>
      <c r="H375" t="n">
        <v>0</v>
      </c>
      <c r="I375" t="n">
        <v>0</v>
      </c>
      <c r="J375" t="n">
        <v>0</v>
      </c>
      <c r="K375" t="n">
        <v>0</v>
      </c>
      <c r="L375" t="n">
        <v>0</v>
      </c>
      <c r="M375" t="n">
        <v>0</v>
      </c>
      <c r="N375" t="n">
        <v>0</v>
      </c>
      <c r="O375" t="n">
        <v>0</v>
      </c>
      <c r="P375" t="n">
        <v>0</v>
      </c>
      <c r="Q375" t="n">
        <v>0</v>
      </c>
      <c r="R375" s="2" t="inlineStr"/>
    </row>
    <row r="376" ht="15" customHeight="1">
      <c r="A376" t="inlineStr">
        <is>
          <t>A 5835-2025</t>
        </is>
      </c>
      <c r="B376" s="1" t="n">
        <v>45694.86667824074</v>
      </c>
      <c r="C376" s="1" t="n">
        <v>46060</v>
      </c>
      <c r="D376" t="inlineStr">
        <is>
          <t>DALARNAS LÄN</t>
        </is>
      </c>
      <c r="E376" t="inlineStr">
        <is>
          <t>GAGNEF</t>
        </is>
      </c>
      <c r="G376" t="n">
        <v>3.4</v>
      </c>
      <c r="H376" t="n">
        <v>0</v>
      </c>
      <c r="I376" t="n">
        <v>0</v>
      </c>
      <c r="J376" t="n">
        <v>0</v>
      </c>
      <c r="K376" t="n">
        <v>0</v>
      </c>
      <c r="L376" t="n">
        <v>0</v>
      </c>
      <c r="M376" t="n">
        <v>0</v>
      </c>
      <c r="N376" t="n">
        <v>0</v>
      </c>
      <c r="O376" t="n">
        <v>0</v>
      </c>
      <c r="P376" t="n">
        <v>0</v>
      </c>
      <c r="Q376" t="n">
        <v>0</v>
      </c>
      <c r="R376" s="2" t="inlineStr"/>
    </row>
    <row r="377" ht="15" customHeight="1">
      <c r="A377" t="inlineStr">
        <is>
          <t>A 23227-2025</t>
        </is>
      </c>
      <c r="B377" s="1" t="n">
        <v>45791.48747685185</v>
      </c>
      <c r="C377" s="1" t="n">
        <v>46060</v>
      </c>
      <c r="D377" t="inlineStr">
        <is>
          <t>DALARNAS LÄN</t>
        </is>
      </c>
      <c r="E377" t="inlineStr">
        <is>
          <t>GAGNEF</t>
        </is>
      </c>
      <c r="G377" t="n">
        <v>2.8</v>
      </c>
      <c r="H377" t="n">
        <v>0</v>
      </c>
      <c r="I377" t="n">
        <v>0</v>
      </c>
      <c r="J377" t="n">
        <v>0</v>
      </c>
      <c r="K377" t="n">
        <v>0</v>
      </c>
      <c r="L377" t="n">
        <v>0</v>
      </c>
      <c r="M377" t="n">
        <v>0</v>
      </c>
      <c r="N377" t="n">
        <v>0</v>
      </c>
      <c r="O377" t="n">
        <v>0</v>
      </c>
      <c r="P377" t="n">
        <v>0</v>
      </c>
      <c r="Q377" t="n">
        <v>0</v>
      </c>
      <c r="R377" s="2" t="inlineStr"/>
    </row>
    <row r="378" ht="15" customHeight="1">
      <c r="A378" t="inlineStr">
        <is>
          <t>A 23797-2025</t>
        </is>
      </c>
      <c r="B378" s="1" t="n">
        <v>45793.55232638889</v>
      </c>
      <c r="C378" s="1" t="n">
        <v>46060</v>
      </c>
      <c r="D378" t="inlineStr">
        <is>
          <t>DALARNAS LÄN</t>
        </is>
      </c>
      <c r="E378" t="inlineStr">
        <is>
          <t>GAGNEF</t>
        </is>
      </c>
      <c r="F378" t="inlineStr">
        <is>
          <t>Övriga statliga verk och myndigheter</t>
        </is>
      </c>
      <c r="G378" t="n">
        <v>2.8</v>
      </c>
      <c r="H378" t="n">
        <v>0</v>
      </c>
      <c r="I378" t="n">
        <v>0</v>
      </c>
      <c r="J378" t="n">
        <v>0</v>
      </c>
      <c r="K378" t="n">
        <v>0</v>
      </c>
      <c r="L378" t="n">
        <v>0</v>
      </c>
      <c r="M378" t="n">
        <v>0</v>
      </c>
      <c r="N378" t="n">
        <v>0</v>
      </c>
      <c r="O378" t="n">
        <v>0</v>
      </c>
      <c r="P378" t="n">
        <v>0</v>
      </c>
      <c r="Q378" t="n">
        <v>0</v>
      </c>
      <c r="R378" s="2" t="inlineStr"/>
    </row>
    <row r="379" ht="15" customHeight="1">
      <c r="A379" t="inlineStr">
        <is>
          <t>A 15965-2023</t>
        </is>
      </c>
      <c r="B379" s="1" t="n">
        <v>45022.65944444444</v>
      </c>
      <c r="C379" s="1" t="n">
        <v>46060</v>
      </c>
      <c r="D379" t="inlineStr">
        <is>
          <t>DALARNAS LÄN</t>
        </is>
      </c>
      <c r="E379" t="inlineStr">
        <is>
          <t>GAGNEF</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7598-2024</t>
        </is>
      </c>
      <c r="B380" s="1" t="n">
        <v>45348.55574074074</v>
      </c>
      <c r="C380" s="1" t="n">
        <v>46060</v>
      </c>
      <c r="D380" t="inlineStr">
        <is>
          <t>DALARNAS LÄN</t>
        </is>
      </c>
      <c r="E380" t="inlineStr">
        <is>
          <t>GAGNEF</t>
        </is>
      </c>
      <c r="G380" t="n">
        <v>2.2</v>
      </c>
      <c r="H380" t="n">
        <v>0</v>
      </c>
      <c r="I380" t="n">
        <v>0</v>
      </c>
      <c r="J380" t="n">
        <v>0</v>
      </c>
      <c r="K380" t="n">
        <v>0</v>
      </c>
      <c r="L380" t="n">
        <v>0</v>
      </c>
      <c r="M380" t="n">
        <v>0</v>
      </c>
      <c r="N380" t="n">
        <v>0</v>
      </c>
      <c r="O380" t="n">
        <v>0</v>
      </c>
      <c r="P380" t="n">
        <v>0</v>
      </c>
      <c r="Q380" t="n">
        <v>0</v>
      </c>
      <c r="R380" s="2" t="inlineStr"/>
    </row>
    <row r="381">
      <c r="A381" t="inlineStr">
        <is>
          <t>A 61499-2024</t>
        </is>
      </c>
      <c r="B381" s="1" t="n">
        <v>45646.55732638889</v>
      </c>
      <c r="C381" s="1" t="n">
        <v>46060</v>
      </c>
      <c r="D381" t="inlineStr">
        <is>
          <t>DALARNAS LÄN</t>
        </is>
      </c>
      <c r="E381" t="inlineStr">
        <is>
          <t>GAGNEF</t>
        </is>
      </c>
      <c r="G381" t="n">
        <v>3</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2026-02-07T13:54:27Z</dcterms:created>
  <dcterms:modified xmlns:dcterms="http://purl.org/dc/terms/" xmlns:xsi="http://www.w3.org/2001/XMLSchema-instance" xsi:type="dcterms:W3CDTF">2026-02-07T13:54:27Z</dcterms:modified>
</cp:coreProperties>
</file>