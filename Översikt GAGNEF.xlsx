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51820-2025</t>
        </is>
      </c>
      <c r="B2" t="inlineStr">
        <is>
          <t>avverkningsanmälan</t>
        </is>
      </c>
      <c r="C2" t="inlineStr">
        <is>
          <t>Föryngringsavverkning</t>
        </is>
      </c>
      <c r="D2" s="1" t="n">
        <v>45951</v>
      </c>
      <c r="E2" s="1" t="n">
        <v>46218</v>
      </c>
      <c r="F2" t="inlineStr">
        <is>
          <t>DALARNAS LÄN</t>
        </is>
      </c>
      <c r="G2" t="inlineStr">
        <is>
          <t>GAGNEF</t>
        </is>
      </c>
      <c r="I2" t="n">
        <v>17</v>
      </c>
      <c r="J2" t="n">
        <v>11</v>
      </c>
      <c r="K2" t="n">
        <v>10</v>
      </c>
      <c r="L2" t="n">
        <v>15</v>
      </c>
      <c r="M2" t="n">
        <v>4</v>
      </c>
      <c r="N2" t="n">
        <v>0</v>
      </c>
      <c r="O2" t="n">
        <v>0</v>
      </c>
      <c r="P2" t="n">
        <v>0</v>
      </c>
      <c r="Q2" t="n">
        <v>19</v>
      </c>
      <c r="R2" t="n">
        <v>4</v>
      </c>
      <c r="S2" t="n">
        <v>34</v>
      </c>
      <c r="T2" t="n">
        <v>150</v>
      </c>
      <c r="U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2">
        <f>HYPERLINK("https://klasma.github.io/Logging_2026/artfynd/A 51820-2025 artfynd.xlsx", "A 51820-2025")</f>
        <v/>
      </c>
      <c r="W2">
        <f>HYPERLINK("https://klasma.github.io/Logging_2026/kartor/A 51820-2025 karta.png", "A 51820-2025")</f>
        <v/>
      </c>
      <c r="X2">
        <f>HYPERLINK("https://klasma.github.io/Logging_2026/knärot/A 51820-2025 karta knärot.png", "A 51820-2025")</f>
        <v/>
      </c>
      <c r="Y2">
        <f>HYPERLINK("https://klasma.github.io/Logging_2026/klagomål/A 51820-2025 FSC-klagomål.docx", "A 51820-2025")</f>
        <v/>
      </c>
      <c r="Z2">
        <f>HYPERLINK("https://klasma.github.io/Logging_2026/klagomålsmail/A 51820-2025 FSC-klagomål mail.docx", "A 51820-2025")</f>
        <v/>
      </c>
      <c r="AA2">
        <f>HYPERLINK("https://klasma.github.io/Logging_2026/tillsyn/A 51820-2025 tillsynsbegäran.docx", "A 51820-2025")</f>
        <v/>
      </c>
      <c r="AB2">
        <f>HYPERLINK("https://klasma.github.io/Logging_2026/tillsynsmail/A 51820-2025 tillsynsbegäran mail.docx", "A 51820-2025")</f>
        <v/>
      </c>
      <c r="AC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46218</v>
      </c>
      <c r="F3" t="inlineStr">
        <is>
          <t>DALARNAS LÄN</t>
        </is>
      </c>
      <c r="G3" t="inlineStr">
        <is>
          <t>GAGNEF</t>
        </is>
      </c>
      <c r="I3" t="n">
        <v>10</v>
      </c>
      <c r="J3" t="n">
        <v>3</v>
      </c>
      <c r="K3" t="n">
        <v>7</v>
      </c>
      <c r="L3" t="n">
        <v>5</v>
      </c>
      <c r="M3" t="n">
        <v>3</v>
      </c>
      <c r="N3" t="n">
        <v>0</v>
      </c>
      <c r="O3" t="n">
        <v>0</v>
      </c>
      <c r="P3" t="n">
        <v>0</v>
      </c>
      <c r="Q3" t="n">
        <v>8</v>
      </c>
      <c r="R3" t="n">
        <v>3</v>
      </c>
      <c r="S3" t="n">
        <v>16</v>
      </c>
      <c r="T3" t="n">
        <v>29</v>
      </c>
      <c r="U3" s="2" t="inlineStr">
        <is>
          <t>Garnlav
Silverblåvinge
Violett fingersvamp
Doftskinn
Månlåsbräken
Stjärntagging
Talltita
Tretåig hackspett
Gulvaxing
Korallblylav
Maskfingersvamp
Skinnlav
Stuplav
Vedticka
Ängsvaxing agg.
Spillkråka</t>
        </is>
      </c>
      <c r="V3">
        <f>HYPERLINK("https://klasma.github.io/Logging_2026/artfynd/A 42681-2025 artfynd.xlsx", "A 42681-2025")</f>
        <v/>
      </c>
      <c r="W3">
        <f>HYPERLINK("https://klasma.github.io/Logging_2026/kartor/A 42681-2025 karta.png", "A 42681-2025")</f>
        <v/>
      </c>
      <c r="Y3">
        <f>HYPERLINK("https://klasma.github.io/Logging_2026/klagomål/A 42681-2025 FSC-klagomål.docx", "A 42681-2025")</f>
        <v/>
      </c>
      <c r="Z3">
        <f>HYPERLINK("https://klasma.github.io/Logging_2026/klagomålsmail/A 42681-2025 FSC-klagomål mail.docx", "A 42681-2025")</f>
        <v/>
      </c>
      <c r="AA3">
        <f>HYPERLINK("https://klasma.github.io/Logging_2026/tillsyn/A 42681-2025 tillsynsbegäran.docx", "A 42681-2025")</f>
        <v/>
      </c>
      <c r="AB3">
        <f>HYPERLINK("https://klasma.github.io/Logging_2026/tillsynsmail/A 42681-2025 tillsynsbegäran mail.docx", "A 42681-2025")</f>
        <v/>
      </c>
      <c r="AC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46218</v>
      </c>
      <c r="F4" t="inlineStr">
        <is>
          <t>DALARNAS LÄN</t>
        </is>
      </c>
      <c r="G4" t="inlineStr">
        <is>
          <t>GAGNEF</t>
        </is>
      </c>
      <c r="I4" t="n">
        <v>10</v>
      </c>
      <c r="J4" t="n">
        <v>3</v>
      </c>
      <c r="K4" t="n">
        <v>7</v>
      </c>
      <c r="L4" t="n">
        <v>5</v>
      </c>
      <c r="M4" t="n">
        <v>3</v>
      </c>
      <c r="N4" t="n">
        <v>0</v>
      </c>
      <c r="O4" t="n">
        <v>0</v>
      </c>
      <c r="P4" t="n">
        <v>0</v>
      </c>
      <c r="Q4" t="n">
        <v>8</v>
      </c>
      <c r="R4" t="n">
        <v>3</v>
      </c>
      <c r="S4" t="n">
        <v>16</v>
      </c>
      <c r="T4" t="n">
        <v>29</v>
      </c>
      <c r="U4" s="2" t="inlineStr">
        <is>
          <t>Garnlav
Silverblåvinge
Violett fingersvamp
Doftskinn
Månlåsbräken
Stjärntagging
Talltita
Tretåig hackspett
Gulvaxing
Korallblylav
Maskfingersvamp
Skinnlav
Stuplav
Vedticka
Ängsvaxing agg.
Spillkråka</t>
        </is>
      </c>
      <c r="V4">
        <f>HYPERLINK("https://klasma.github.io/Logging_2026/artfynd/A 63440-2025 artfynd.xlsx", "A 63440-2025")</f>
        <v/>
      </c>
      <c r="W4">
        <f>HYPERLINK("https://klasma.github.io/Logging_2026/kartor/A 63440-2025 karta.png", "A 63440-2025")</f>
        <v/>
      </c>
      <c r="Y4">
        <f>HYPERLINK("https://klasma.github.io/Logging_2026/klagomål/A 63440-2025 FSC-klagomål.docx", "A 63440-2025")</f>
        <v/>
      </c>
      <c r="Z4">
        <f>HYPERLINK("https://klasma.github.io/Logging_2026/klagomålsmail/A 63440-2025 FSC-klagomål mail.docx", "A 63440-2025")</f>
        <v/>
      </c>
      <c r="AA4">
        <f>HYPERLINK("https://klasma.github.io/Logging_2026/tillsyn/A 63440-2025 tillsynsbegäran.docx", "A 63440-2025")</f>
        <v/>
      </c>
      <c r="AB4">
        <f>HYPERLINK("https://klasma.github.io/Logging_2026/tillsynsmail/A 63440-2025 tillsynsbegäran mail.docx", "A 63440-2025")</f>
        <v/>
      </c>
      <c r="AC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46218</v>
      </c>
      <c r="F5" t="inlineStr">
        <is>
          <t>DALARNAS LÄN</t>
        </is>
      </c>
      <c r="G5" t="inlineStr">
        <is>
          <t>GAGNEF</t>
        </is>
      </c>
      <c r="I5" t="n">
        <v>12.2</v>
      </c>
      <c r="J5" t="n">
        <v>3</v>
      </c>
      <c r="K5" t="n">
        <v>2</v>
      </c>
      <c r="L5" t="n">
        <v>9</v>
      </c>
      <c r="M5" t="n">
        <v>2</v>
      </c>
      <c r="N5" t="n">
        <v>0</v>
      </c>
      <c r="O5" t="n">
        <v>0</v>
      </c>
      <c r="P5" t="n">
        <v>0</v>
      </c>
      <c r="Q5" t="n">
        <v>11</v>
      </c>
      <c r="R5" t="n">
        <v>2</v>
      </c>
      <c r="S5" t="n">
        <v>13</v>
      </c>
      <c r="T5" t="n">
        <v>115</v>
      </c>
      <c r="U5" s="2" t="inlineStr">
        <is>
          <t>Garnlav
Knärot
Dropptaggsvamp
Fjällig taggsvamp s.str.
Kattfotslav
Rosenticka
Rynkskinn
Tallticka
Talltita
Tretåig hackspett
Ullticka
Grönpyrola
Mindre märgborre</t>
        </is>
      </c>
      <c r="V5">
        <f>HYPERLINK("https://klasma.github.io/Logging_2026/artfynd/A 46085-2025 artfynd.xlsx", "A 46085-2025")</f>
        <v/>
      </c>
      <c r="W5">
        <f>HYPERLINK("https://klasma.github.io/Logging_2026/kartor/A 46085-2025 karta.png", "A 46085-2025")</f>
        <v/>
      </c>
      <c r="X5">
        <f>HYPERLINK("https://klasma.github.io/Logging_2026/knärot/A 46085-2025 karta knärot.png", "A 46085-2025")</f>
        <v/>
      </c>
      <c r="Y5">
        <f>HYPERLINK("https://klasma.github.io/Logging_2026/klagomål/A 46085-2025 FSC-klagomål.docx", "A 46085-2025")</f>
        <v/>
      </c>
      <c r="Z5">
        <f>HYPERLINK("https://klasma.github.io/Logging_2026/klagomålsmail/A 46085-2025 FSC-klagomål mail.docx", "A 46085-2025")</f>
        <v/>
      </c>
      <c r="AA5">
        <f>HYPERLINK("https://klasma.github.io/Logging_2026/tillsyn/A 46085-2025 tillsynsbegäran.docx", "A 46085-2025")</f>
        <v/>
      </c>
      <c r="AB5">
        <f>HYPERLINK("https://klasma.github.io/Logging_2026/tillsynsmail/A 46085-2025 tillsynsbegäran mail.docx", "A 46085-2025")</f>
        <v/>
      </c>
      <c r="AC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46218</v>
      </c>
      <c r="F6" t="inlineStr">
        <is>
          <t>DALARNAS LÄN</t>
        </is>
      </c>
      <c r="G6" t="inlineStr">
        <is>
          <t>GAGNEF</t>
        </is>
      </c>
      <c r="I6" t="n">
        <v>9.4</v>
      </c>
      <c r="J6" t="n">
        <v>3</v>
      </c>
      <c r="K6" t="n">
        <v>1</v>
      </c>
      <c r="L6" t="n">
        <v>4</v>
      </c>
      <c r="M6" t="n">
        <v>1</v>
      </c>
      <c r="N6" t="n">
        <v>0</v>
      </c>
      <c r="O6" t="n">
        <v>0</v>
      </c>
      <c r="P6" t="n">
        <v>0</v>
      </c>
      <c r="Q6" t="n">
        <v>5</v>
      </c>
      <c r="R6" t="n">
        <v>1</v>
      </c>
      <c r="S6" t="n">
        <v>8</v>
      </c>
      <c r="T6" t="n">
        <v>41</v>
      </c>
      <c r="U6" s="2" t="inlineStr">
        <is>
          <t>Garnlav
Gammelgransskål
Kattfotslav
Tretåig hackspett
Ullticka
Vedticka
Spillkråka
Tjäder</t>
        </is>
      </c>
      <c r="V6">
        <f>HYPERLINK("https://klasma.github.io/Logging_2026/artfynd/A 18485-2026 artfynd.xlsx", "A 18485-2026")</f>
        <v/>
      </c>
      <c r="W6">
        <f>HYPERLINK("https://klasma.github.io/Logging_2026/kartor/A 18485-2026 karta.png", "A 18485-2026")</f>
        <v/>
      </c>
      <c r="Y6">
        <f>HYPERLINK("https://klasma.github.io/Logging_2026/klagomål/A 18485-2026 FSC-klagomål.docx", "A 18485-2026")</f>
        <v/>
      </c>
      <c r="Z6">
        <f>HYPERLINK("https://klasma.github.io/Logging_2026/klagomålsmail/A 18485-2026 FSC-klagomål mail.docx", "A 18485-2026")</f>
        <v/>
      </c>
      <c r="AA6">
        <f>HYPERLINK("https://klasma.github.io/Logging_2026/tillsyn/A 18485-2026 tillsynsbegäran.docx", "A 18485-2026")</f>
        <v/>
      </c>
      <c r="AB6">
        <f>HYPERLINK("https://klasma.github.io/Logging_2026/tillsynsmail/A 18485-2026 tillsynsbegäran mail.docx", "A 18485-2026")</f>
        <v/>
      </c>
      <c r="AC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46218</v>
      </c>
      <c r="F7" t="inlineStr">
        <is>
          <t>DALARNAS LÄN</t>
        </is>
      </c>
      <c r="G7" t="inlineStr">
        <is>
          <t>GAGNEF</t>
        </is>
      </c>
      <c r="I7" t="n">
        <v>1.8</v>
      </c>
      <c r="J7" t="n">
        <v>0</v>
      </c>
      <c r="K7" t="n">
        <v>4</v>
      </c>
      <c r="L7" t="n">
        <v>3</v>
      </c>
      <c r="M7" t="n">
        <v>1</v>
      </c>
      <c r="N7" t="n">
        <v>0</v>
      </c>
      <c r="O7" t="n">
        <v>0</v>
      </c>
      <c r="P7" t="n">
        <v>0</v>
      </c>
      <c r="Q7" t="n">
        <v>4</v>
      </c>
      <c r="R7" t="n">
        <v>1</v>
      </c>
      <c r="S7" t="n">
        <v>8</v>
      </c>
      <c r="T7" t="n">
        <v>10</v>
      </c>
      <c r="U7" s="2" t="inlineStr">
        <is>
          <t>Allékantlav
Barrviolspindling
Kandelabersvamp
Violettgrå tagellav
Dvärgtufs
Korallblylav
Rostfläck
Skinnlav</t>
        </is>
      </c>
      <c r="V7">
        <f>HYPERLINK("https://klasma.github.io/Logging_2026/artfynd/S 2757-2020 artfynd.xlsx", "S 2757-2020")</f>
        <v/>
      </c>
      <c r="W7">
        <f>HYPERLINK("https://klasma.github.io/Logging_2026/kartor/S 2757-2020 karta.png", "S 2757-2020")</f>
        <v/>
      </c>
      <c r="Y7">
        <f>HYPERLINK("https://klasma.github.io/Logging_2026/klagomål/S 2757-2020 FSC-klagomål.docx", "S 2757-2020")</f>
        <v/>
      </c>
      <c r="Z7">
        <f>HYPERLINK("https://klasma.github.io/Logging_2026/klagomålsmail/S 2757-2020 FSC-klagomål mail.docx", "S 2757-2020")</f>
        <v/>
      </c>
      <c r="AA7">
        <f>HYPERLINK("https://klasma.github.io/Logging_2026/tillsyn/S 2757-2020 tillsynsbegäran.docx", "S 2757-2020")</f>
        <v/>
      </c>
      <c r="AB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46218</v>
      </c>
      <c r="F8" t="inlineStr">
        <is>
          <t>DALARNAS LÄN</t>
        </is>
      </c>
      <c r="G8" t="inlineStr">
        <is>
          <t>GAGNEF</t>
        </is>
      </c>
      <c r="I8" t="n">
        <v>5.9</v>
      </c>
      <c r="J8" t="n">
        <v>3</v>
      </c>
      <c r="K8" t="n">
        <v>0</v>
      </c>
      <c r="L8" t="n">
        <v>3</v>
      </c>
      <c r="M8" t="n">
        <v>2</v>
      </c>
      <c r="N8" t="n">
        <v>0</v>
      </c>
      <c r="O8" t="n">
        <v>0</v>
      </c>
      <c r="P8" t="n">
        <v>0</v>
      </c>
      <c r="Q8" t="n">
        <v>5</v>
      </c>
      <c r="R8" t="n">
        <v>2</v>
      </c>
      <c r="S8" t="n">
        <v>6</v>
      </c>
      <c r="T8" t="n">
        <v>19</v>
      </c>
      <c r="U8" s="2" t="inlineStr">
        <is>
          <t>Garnlav
Knärot
Rosenticka
Tretåig hackspett
Ullticka
Spillkråka</t>
        </is>
      </c>
      <c r="V8">
        <f>HYPERLINK("https://klasma.github.io/Logging_2026/artfynd/A 20728-2023 artfynd.xlsx", "A 20728-2023")</f>
        <v/>
      </c>
      <c r="W8">
        <f>HYPERLINK("https://klasma.github.io/Logging_2026/kartor/A 20728-2023 karta.png", "A 20728-2023")</f>
        <v/>
      </c>
      <c r="X8">
        <f>HYPERLINK("https://klasma.github.io/Logging_2026/knärot/A 20728-2023 karta knärot.png", "A 20728-2023")</f>
        <v/>
      </c>
      <c r="Y8">
        <f>HYPERLINK("https://klasma.github.io/Logging_2026/klagomål/A 20728-2023 FSC-klagomål.docx", "A 20728-2023")</f>
        <v/>
      </c>
      <c r="Z8">
        <f>HYPERLINK("https://klasma.github.io/Logging_2026/klagomålsmail/A 20728-2023 FSC-klagomål mail.docx", "A 20728-2023")</f>
        <v/>
      </c>
      <c r="AA8">
        <f>HYPERLINK("https://klasma.github.io/Logging_2026/tillsyn/A 20728-2023 tillsynsbegäran.docx", "A 20728-2023")</f>
        <v/>
      </c>
      <c r="AB8">
        <f>HYPERLINK("https://klasma.github.io/Logging_2026/tillsynsmail/A 20728-2023 tillsynsbegäran mail.docx", "A 20728-2023")</f>
        <v/>
      </c>
      <c r="AC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46218</v>
      </c>
      <c r="F9" t="inlineStr">
        <is>
          <t>DALARNAS LÄN</t>
        </is>
      </c>
      <c r="G9" t="inlineStr">
        <is>
          <t>GAGNEF</t>
        </is>
      </c>
      <c r="I9" t="n">
        <v>1.4</v>
      </c>
      <c r="J9" t="n">
        <v>3</v>
      </c>
      <c r="K9" t="n">
        <v>1</v>
      </c>
      <c r="L9" t="n">
        <v>3</v>
      </c>
      <c r="M9" t="n">
        <v>2</v>
      </c>
      <c r="N9" t="n">
        <v>0</v>
      </c>
      <c r="O9" t="n">
        <v>0</v>
      </c>
      <c r="P9" t="n">
        <v>0</v>
      </c>
      <c r="Q9" t="n">
        <v>5</v>
      </c>
      <c r="R9" t="n">
        <v>2</v>
      </c>
      <c r="S9" t="n">
        <v>6</v>
      </c>
      <c r="T9" t="n">
        <v>37</v>
      </c>
      <c r="U9" s="2" t="inlineStr">
        <is>
          <t>Garnlav
Knärot
Talltita
Tretåig hackspett
Ullticka
Bronshjon</t>
        </is>
      </c>
      <c r="V9">
        <f>HYPERLINK("https://klasma.github.io/Logging_2026/artfynd/A 51268-2025 artfynd.xlsx", "A 51268-2025")</f>
        <v/>
      </c>
      <c r="W9">
        <f>HYPERLINK("https://klasma.github.io/Logging_2026/kartor/A 51268-2025 karta.png", "A 51268-2025")</f>
        <v/>
      </c>
      <c r="X9">
        <f>HYPERLINK("https://klasma.github.io/Logging_2026/knärot/A 51268-2025 karta knärot.png", "A 51268-2025")</f>
        <v/>
      </c>
      <c r="Y9">
        <f>HYPERLINK("https://klasma.github.io/Logging_2026/klagomål/A 51268-2025 FSC-klagomål.docx", "A 51268-2025")</f>
        <v/>
      </c>
      <c r="Z9">
        <f>HYPERLINK("https://klasma.github.io/Logging_2026/klagomålsmail/A 51268-2025 FSC-klagomål mail.docx", "A 51268-2025")</f>
        <v/>
      </c>
      <c r="AA9">
        <f>HYPERLINK("https://klasma.github.io/Logging_2026/tillsyn/A 51268-2025 tillsynsbegäran.docx", "A 51268-2025")</f>
        <v/>
      </c>
      <c r="AB9">
        <f>HYPERLINK("https://klasma.github.io/Logging_2026/tillsynsmail/A 51268-2025 tillsynsbegäran mail.docx", "A 51268-2025")</f>
        <v/>
      </c>
      <c r="AC9">
        <f>HYPERLINK("https://klasma.github.io/Logging_2026/fåglar/A 51268-2025 prioriterade fågelarter.docx", "A 51268-2025")</f>
        <v/>
      </c>
    </row>
    <row r="10" ht="15" customHeight="1">
      <c r="A10" t="inlineStr">
        <is>
          <t>A 14556-2026</t>
        </is>
      </c>
      <c r="B10" t="inlineStr">
        <is>
          <t>avverkningsanmälan</t>
        </is>
      </c>
      <c r="C10" t="inlineStr">
        <is>
          <t>Avverkning för annat ändamål</t>
        </is>
      </c>
      <c r="D10" s="1" t="n">
        <v>46100</v>
      </c>
      <c r="E10" s="1" t="n">
        <v>46218</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s="2" t="inlineStr">
        <is>
          <t>Garnlav
Knärot
Rosenticka
Ullticka
Vedticka</t>
        </is>
      </c>
      <c r="V10">
        <f>HYPERLINK("https://klasma.github.io/Logging_2026/artfynd/A 14556-2026 artfynd.xlsx", "A 14556-2026")</f>
        <v/>
      </c>
      <c r="W10">
        <f>HYPERLINK("https://klasma.github.io/Logging_2026/kartor/A 14556-2026 karta.png", "A 14556-2026")</f>
        <v/>
      </c>
      <c r="X10">
        <f>HYPERLINK("https://klasma.github.io/Logging_2026/knärot/A 14556-2026 karta knärot.png", "A 14556-2026")</f>
        <v/>
      </c>
      <c r="Y10">
        <f>HYPERLINK("https://klasma.github.io/Logging_2026/klagomål/A 14556-2026 FSC-klagomål.docx", "A 14556-2026")</f>
        <v/>
      </c>
      <c r="Z10">
        <f>HYPERLINK("https://klasma.github.io/Logging_2026/klagomålsmail/A 14556-2026 FSC-klagomål mail.docx", "A 14556-2026")</f>
        <v/>
      </c>
      <c r="AA10">
        <f>HYPERLINK("https://klasma.github.io/Logging_2026/tillsyn/A 14556-2026 tillsynsbegäran.docx", "A 14556-2026")</f>
        <v/>
      </c>
      <c r="AB10">
        <f>HYPERLINK("https://klasma.github.io/Logging_2026/tillsynsmail/A 14556-2026 tillsynsbegäran mail.docx", "A 14556-2026")</f>
        <v/>
      </c>
    </row>
    <row r="11" ht="15" customHeight="1">
      <c r="A11" t="inlineStr">
        <is>
          <t>A 2493-2026</t>
        </is>
      </c>
      <c r="B11" t="inlineStr">
        <is>
          <t>avverkningsanmälan</t>
        </is>
      </c>
      <c r="C11" t="inlineStr">
        <is>
          <t>Föryngringsavverkning</t>
        </is>
      </c>
      <c r="D11" s="1" t="n">
        <v>46037</v>
      </c>
      <c r="E11" s="1" t="n">
        <v>46218</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s="2" t="inlineStr">
        <is>
          <t>Ullticka
Rödgul trumpetsvamp
Stuplav
Fläcknycklar
Revlummer</t>
        </is>
      </c>
      <c r="V11">
        <f>HYPERLINK("https://klasma.github.io/Logging_2026/artfynd/A 2493-2026 artfynd.xlsx", "A 2493-2026")</f>
        <v/>
      </c>
      <c r="W11">
        <f>HYPERLINK("https://klasma.github.io/Logging_2026/kartor/A 2493-2026 karta.png", "A 2493-2026")</f>
        <v/>
      </c>
      <c r="Y11">
        <f>HYPERLINK("https://klasma.github.io/Logging_2026/klagomål/A 2493-2026 FSC-klagomål.docx", "A 2493-2026")</f>
        <v/>
      </c>
      <c r="Z11">
        <f>HYPERLINK("https://klasma.github.io/Logging_2026/klagomålsmail/A 2493-2026 FSC-klagomål mail.docx", "A 2493-2026")</f>
        <v/>
      </c>
      <c r="AA11">
        <f>HYPERLINK("https://klasma.github.io/Logging_2026/tillsyn/A 2493-2026 tillsynsbegäran.docx", "A 2493-2026")</f>
        <v/>
      </c>
      <c r="AB11">
        <f>HYPERLINK("https://klasma.github.io/Logging_2026/tillsynsmail/A 2493-2026 tillsynsbegäran mail.docx", "A 2493-2026")</f>
        <v/>
      </c>
    </row>
    <row r="12" ht="15" customHeight="1">
      <c r="A12" t="inlineStr">
        <is>
          <t>A 11259-2026</t>
        </is>
      </c>
      <c r="B12" t="inlineStr">
        <is>
          <t>avverkningsanmälan</t>
        </is>
      </c>
      <c r="C12" t="inlineStr">
        <is>
          <t>Föryngringsavverkning</t>
        </is>
      </c>
      <c r="D12" s="1" t="n">
        <v>46080</v>
      </c>
      <c r="E12" s="1" t="n">
        <v>46218</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s="2" t="inlineStr">
        <is>
          <t>Rosenticka
Rynkskinn
Tretåig hackspett
Ullticka
Trådticka</t>
        </is>
      </c>
      <c r="V12">
        <f>HYPERLINK("https://klasma.github.io/Logging_2026/artfynd/A 11259-2026 artfynd.xlsx", "A 11259-2026")</f>
        <v/>
      </c>
      <c r="W12">
        <f>HYPERLINK("https://klasma.github.io/Logging_2026/kartor/A 11259-2026 karta.png", "A 11259-2026")</f>
        <v/>
      </c>
      <c r="Y12">
        <f>HYPERLINK("https://klasma.github.io/Logging_2026/klagomål/A 11259-2026 FSC-klagomål.docx", "A 11259-2026")</f>
        <v/>
      </c>
      <c r="Z12">
        <f>HYPERLINK("https://klasma.github.io/Logging_2026/klagomålsmail/A 11259-2026 FSC-klagomål mail.docx", "A 11259-2026")</f>
        <v/>
      </c>
      <c r="AA12">
        <f>HYPERLINK("https://klasma.github.io/Logging_2026/tillsyn/A 11259-2026 tillsynsbegäran.docx", "A 11259-2026")</f>
        <v/>
      </c>
      <c r="AB12">
        <f>HYPERLINK("https://klasma.github.io/Logging_2026/tillsynsmail/A 11259-2026 tillsynsbegäran mail.docx", "A 11259-2026")</f>
        <v/>
      </c>
      <c r="AC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46218</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s="2" t="inlineStr">
        <is>
          <t>Garnlav
Spillkråka
Tjäder
Fläcknycklar</t>
        </is>
      </c>
      <c r="V13">
        <f>HYPERLINK("https://klasma.github.io/Logging_2026/artfynd/A 47294-2023 artfynd.xlsx", "A 47294-2023")</f>
        <v/>
      </c>
      <c r="W13">
        <f>HYPERLINK("https://klasma.github.io/Logging_2026/kartor/A 47294-2023 karta.png", "A 47294-2023")</f>
        <v/>
      </c>
      <c r="Y13">
        <f>HYPERLINK("https://klasma.github.io/Logging_2026/klagomål/A 47294-2023 FSC-klagomål.docx", "A 47294-2023")</f>
        <v/>
      </c>
      <c r="Z13">
        <f>HYPERLINK("https://klasma.github.io/Logging_2026/klagomålsmail/A 47294-2023 FSC-klagomål mail.docx", "A 47294-2023")</f>
        <v/>
      </c>
      <c r="AA13">
        <f>HYPERLINK("https://klasma.github.io/Logging_2026/tillsyn/A 47294-2023 tillsynsbegäran.docx", "A 47294-2023")</f>
        <v/>
      </c>
      <c r="AB13">
        <f>HYPERLINK("https://klasma.github.io/Logging_2026/tillsynsmail/A 47294-2023 tillsynsbegäran mail.docx", "A 47294-2023")</f>
        <v/>
      </c>
      <c r="AC13">
        <f>HYPERLINK("https://klasma.github.io/Logging_2026/fåglar/A 47294-2023 prioriterade fågelarter.docx", "A 47294-2023")</f>
        <v/>
      </c>
    </row>
    <row r="14" ht="15" customHeight="1">
      <c r="A14" t="inlineStr">
        <is>
          <t>A 28591-2024</t>
        </is>
      </c>
      <c r="B14" t="inlineStr">
        <is>
          <t>avverkningsanmälan</t>
        </is>
      </c>
      <c r="C14" t="inlineStr">
        <is>
          <t>Föryngringsavverkning</t>
        </is>
      </c>
      <c r="D14" s="1" t="n">
        <v>45478</v>
      </c>
      <c r="E14" s="1" t="n">
        <v>46218</v>
      </c>
      <c r="F14" t="inlineStr">
        <is>
          <t>DALARNAS LÄN</t>
        </is>
      </c>
      <c r="G14" t="inlineStr">
        <is>
          <t>GAGNEF</t>
        </is>
      </c>
      <c r="H14" t="inlineStr">
        <is>
          <t>Bergvik skog väst AB</t>
        </is>
      </c>
      <c r="I14" t="n">
        <v>1.7</v>
      </c>
      <c r="J14" t="n">
        <v>1</v>
      </c>
      <c r="K14" t="n">
        <v>0</v>
      </c>
      <c r="L14" t="n">
        <v>1</v>
      </c>
      <c r="M14" t="n">
        <v>1</v>
      </c>
      <c r="N14" t="n">
        <v>0</v>
      </c>
      <c r="O14" t="n">
        <v>0</v>
      </c>
      <c r="P14" t="n">
        <v>0</v>
      </c>
      <c r="Q14" t="n">
        <v>2</v>
      </c>
      <c r="R14" t="n">
        <v>1</v>
      </c>
      <c r="S14" t="n">
        <v>3</v>
      </c>
      <c r="T14" t="n">
        <v>4</v>
      </c>
      <c r="U14" s="2" t="inlineStr">
        <is>
          <t>Aspgelélav
Rosenticka
Nattviol</t>
        </is>
      </c>
      <c r="V14">
        <f>HYPERLINK("https://klasma.github.io/Logging_2026/artfynd/A 28591-2024 artfynd.xlsx", "A 28591-2024")</f>
        <v/>
      </c>
      <c r="W14">
        <f>HYPERLINK("https://klasma.github.io/Logging_2026/kartor/A 28591-2024 karta.png", "A 28591-2024")</f>
        <v/>
      </c>
      <c r="Y14">
        <f>HYPERLINK("https://klasma.github.io/Logging_2026/klagomål/A 28591-2024 FSC-klagomål.docx", "A 28591-2024")</f>
        <v/>
      </c>
      <c r="Z14">
        <f>HYPERLINK("https://klasma.github.io/Logging_2026/klagomålsmail/A 28591-2024 FSC-klagomål mail.docx", "A 28591-2024")</f>
        <v/>
      </c>
      <c r="AA14">
        <f>HYPERLINK("https://klasma.github.io/Logging_2026/tillsyn/A 28591-2024 tillsynsbegäran.docx", "A 28591-2024")</f>
        <v/>
      </c>
      <c r="AB14">
        <f>HYPERLINK("https://klasma.github.io/Logging_2026/tillsynsmail/A 28591-2024 tillsynsbegäran mail.docx", "A 28591-2024")</f>
        <v/>
      </c>
    </row>
    <row r="15" ht="15" customHeight="1">
      <c r="A15" t="inlineStr">
        <is>
          <t>A 44380-2025</t>
        </is>
      </c>
      <c r="B15" t="inlineStr">
        <is>
          <t>avverkningsanmälan</t>
        </is>
      </c>
      <c r="C15" t="inlineStr">
        <is>
          <t>Föryngringsavverkning</t>
        </is>
      </c>
      <c r="D15" s="1" t="n">
        <v>45916</v>
      </c>
      <c r="E15" s="1" t="n">
        <v>46218</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s="2" t="inlineStr">
        <is>
          <t>Lunglav
Skorpgelélav
Bårdlav</t>
        </is>
      </c>
      <c r="V15">
        <f>HYPERLINK("https://klasma.github.io/Logging_2026/artfynd/A 44380-2025 artfynd.xlsx", "A 44380-2025")</f>
        <v/>
      </c>
      <c r="W15">
        <f>HYPERLINK("https://klasma.github.io/Logging_2026/kartor/A 44380-2025 karta.png", "A 44380-2025")</f>
        <v/>
      </c>
      <c r="Y15">
        <f>HYPERLINK("https://klasma.github.io/Logging_2026/klagomål/A 44380-2025 FSC-klagomål.docx", "A 44380-2025")</f>
        <v/>
      </c>
      <c r="Z15">
        <f>HYPERLINK("https://klasma.github.io/Logging_2026/klagomålsmail/A 44380-2025 FSC-klagomål mail.docx", "A 44380-2025")</f>
        <v/>
      </c>
      <c r="AA15">
        <f>HYPERLINK("https://klasma.github.io/Logging_2026/tillsyn/A 44380-2025 tillsynsbegäran.docx", "A 44380-2025")</f>
        <v/>
      </c>
      <c r="AB15">
        <f>HYPERLINK("https://klasma.github.io/Logging_2026/tillsynsmail/A 44380-2025 tillsynsbegäran mail.docx", "A 44380-2025")</f>
        <v/>
      </c>
    </row>
    <row r="16" ht="15" customHeight="1">
      <c r="A16" t="inlineStr">
        <is>
          <t>A 43914-2024</t>
        </is>
      </c>
      <c r="B16" t="inlineStr">
        <is>
          <t>avverkningsanmälan</t>
        </is>
      </c>
      <c r="C16" t="inlineStr">
        <is>
          <t>Föryngringsavverkning</t>
        </is>
      </c>
      <c r="D16" s="1" t="n">
        <v>45572</v>
      </c>
      <c r="E16" s="1" t="n">
        <v>46218</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s="2" t="inlineStr">
        <is>
          <t>Garnlav
Knärot
Tretåig hackspett</t>
        </is>
      </c>
      <c r="V16">
        <f>HYPERLINK("https://klasma.github.io/Logging_2026/artfynd/A 43914-2024 artfynd.xlsx", "A 43914-2024")</f>
        <v/>
      </c>
      <c r="W16">
        <f>HYPERLINK("https://klasma.github.io/Logging_2026/kartor/A 43914-2024 karta.png", "A 43914-2024")</f>
        <v/>
      </c>
      <c r="X16">
        <f>HYPERLINK("https://klasma.github.io/Logging_2026/knärot/A 43914-2024 karta knärot.png", "A 43914-2024")</f>
        <v/>
      </c>
      <c r="Y16">
        <f>HYPERLINK("https://klasma.github.io/Logging_2026/klagomål/A 43914-2024 FSC-klagomål.docx", "A 43914-2024")</f>
        <v/>
      </c>
      <c r="Z16">
        <f>HYPERLINK("https://klasma.github.io/Logging_2026/klagomålsmail/A 43914-2024 FSC-klagomål mail.docx", "A 43914-2024")</f>
        <v/>
      </c>
      <c r="AA16">
        <f>HYPERLINK("https://klasma.github.io/Logging_2026/tillsyn/A 43914-2024 tillsynsbegäran.docx", "A 43914-2024")</f>
        <v/>
      </c>
      <c r="AB16">
        <f>HYPERLINK("https://klasma.github.io/Logging_2026/tillsynsmail/A 43914-2024 tillsynsbegäran mail.docx", "A 43914-2024")</f>
        <v/>
      </c>
      <c r="AC16">
        <f>HYPERLINK("https://klasma.github.io/Logging_2026/fåglar/A 43914-2024 prioriterade fågelarter.docx", "A 43914-2024")</f>
        <v/>
      </c>
    </row>
    <row r="17" ht="15" customHeight="1">
      <c r="A17" t="inlineStr">
        <is>
          <t>A 42709-2024</t>
        </is>
      </c>
      <c r="B17" t="inlineStr">
        <is>
          <t>avverkningsanmälan</t>
        </is>
      </c>
      <c r="C17" t="inlineStr">
        <is>
          <t>Föryngringsavverkning</t>
        </is>
      </c>
      <c r="D17" s="1" t="n">
        <v>45566</v>
      </c>
      <c r="E17" s="1" t="n">
        <v>46218</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s="2" t="inlineStr">
        <is>
          <t>Garnlav
Knärot
Tretåig hackspett</t>
        </is>
      </c>
      <c r="V17">
        <f>HYPERLINK("https://klasma.github.io/Logging_2026/artfynd/A 42709-2024 artfynd.xlsx", "A 42709-2024")</f>
        <v/>
      </c>
      <c r="W17">
        <f>HYPERLINK("https://klasma.github.io/Logging_2026/kartor/A 42709-2024 karta.png", "A 42709-2024")</f>
        <v/>
      </c>
      <c r="X17">
        <f>HYPERLINK("https://klasma.github.io/Logging_2026/knärot/A 42709-2024 karta knärot.png", "A 42709-2024")</f>
        <v/>
      </c>
      <c r="Y17">
        <f>HYPERLINK("https://klasma.github.io/Logging_2026/klagomål/A 42709-2024 FSC-klagomål.docx", "A 42709-2024")</f>
        <v/>
      </c>
      <c r="Z17">
        <f>HYPERLINK("https://klasma.github.io/Logging_2026/klagomålsmail/A 42709-2024 FSC-klagomål mail.docx", "A 42709-2024")</f>
        <v/>
      </c>
      <c r="AA17">
        <f>HYPERLINK("https://klasma.github.io/Logging_2026/tillsyn/A 42709-2024 tillsynsbegäran.docx", "A 42709-2024")</f>
        <v/>
      </c>
      <c r="AB17">
        <f>HYPERLINK("https://klasma.github.io/Logging_2026/tillsynsmail/A 42709-2024 tillsynsbegäran mail.docx", "A 42709-2024")</f>
        <v/>
      </c>
      <c r="AC17">
        <f>HYPERLINK("https://klasma.github.io/Logging_2026/fåglar/A 42709-2024 prioriterade fågelarter.docx", "A 42709-2024")</f>
        <v/>
      </c>
    </row>
    <row r="18" ht="15" customHeight="1">
      <c r="A18" t="inlineStr">
        <is>
          <t>A 61787-2024</t>
        </is>
      </c>
      <c r="B18" t="inlineStr">
        <is>
          <t>avverkningsanmälan</t>
        </is>
      </c>
      <c r="C18" t="inlineStr">
        <is>
          <t>Föryngringsavverkning</t>
        </is>
      </c>
      <c r="D18" s="1" t="n">
        <v>45649</v>
      </c>
      <c r="E18" s="1" t="n">
        <v>46218</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s="2" t="inlineStr">
        <is>
          <t>Tallticka
Tjäder
Orre</t>
        </is>
      </c>
      <c r="V18">
        <f>HYPERLINK("https://klasma.github.io/Logging_2026/artfynd/A 61787-2024 artfynd.xlsx", "A 61787-2024")</f>
        <v/>
      </c>
      <c r="W18">
        <f>HYPERLINK("https://klasma.github.io/Logging_2026/kartor/A 61787-2024 karta.png", "A 61787-2024")</f>
        <v/>
      </c>
      <c r="Y18">
        <f>HYPERLINK("https://klasma.github.io/Logging_2026/klagomål/A 61787-2024 FSC-klagomål.docx", "A 61787-2024")</f>
        <v/>
      </c>
      <c r="Z18">
        <f>HYPERLINK("https://klasma.github.io/Logging_2026/klagomålsmail/A 61787-2024 FSC-klagomål mail.docx", "A 61787-2024")</f>
        <v/>
      </c>
      <c r="AA18">
        <f>HYPERLINK("https://klasma.github.io/Logging_2026/tillsyn/A 61787-2024 tillsynsbegäran.docx", "A 61787-2024")</f>
        <v/>
      </c>
      <c r="AB18">
        <f>HYPERLINK("https://klasma.github.io/Logging_2026/tillsynsmail/A 61787-2024 tillsynsbegäran mail.docx", "A 61787-2024")</f>
        <v/>
      </c>
      <c r="AC18">
        <f>HYPERLINK("https://klasma.github.io/Logging_2026/fåglar/A 61787-2024 prioriterade fågelarter.docx", "A 61787-2024")</f>
        <v/>
      </c>
    </row>
    <row r="19" ht="15" customHeight="1">
      <c r="A19" t="inlineStr">
        <is>
          <t>A 58427-2025</t>
        </is>
      </c>
      <c r="B19" t="inlineStr">
        <is>
          <t>avverkningsanmälan</t>
        </is>
      </c>
      <c r="C19" t="inlineStr">
        <is>
          <t>Föryngringsavverkning</t>
        </is>
      </c>
      <c r="D19" s="1" t="n">
        <v>45985</v>
      </c>
      <c r="E19" s="1" t="n">
        <v>46218</v>
      </c>
      <c r="F19" t="inlineStr">
        <is>
          <t>DALARNAS LÄN</t>
        </is>
      </c>
      <c r="G19" t="inlineStr">
        <is>
          <t>GAGNEF</t>
        </is>
      </c>
      <c r="I19" t="n">
        <v>1.6</v>
      </c>
      <c r="J19" t="n">
        <v>3</v>
      </c>
      <c r="K19" t="n">
        <v>0</v>
      </c>
      <c r="L19" t="n">
        <v>1</v>
      </c>
      <c r="M19" t="n">
        <v>1</v>
      </c>
      <c r="N19" t="n">
        <v>0</v>
      </c>
      <c r="O19" t="n">
        <v>0</v>
      </c>
      <c r="P19" t="n">
        <v>0</v>
      </c>
      <c r="Q19" t="n">
        <v>2</v>
      </c>
      <c r="R19" t="n">
        <v>1</v>
      </c>
      <c r="S19" t="n">
        <v>3</v>
      </c>
      <c r="T19" t="n">
        <v>5</v>
      </c>
      <c r="U19" s="2" t="inlineStr">
        <is>
          <t>Knärot
Tretåig hackspett
Tjäder</t>
        </is>
      </c>
      <c r="V19">
        <f>HYPERLINK("https://klasma.github.io/Logging_2026/artfynd/A 58427-2025 artfynd.xlsx", "A 58427-2025")</f>
        <v/>
      </c>
      <c r="W19">
        <f>HYPERLINK("https://klasma.github.io/Logging_2026/kartor/A 58427-2025 karta.png", "A 58427-2025")</f>
        <v/>
      </c>
      <c r="X19">
        <f>HYPERLINK("https://klasma.github.io/Logging_2026/knärot/A 58427-2025 karta knärot.png", "A 58427-2025")</f>
        <v/>
      </c>
      <c r="Y19">
        <f>HYPERLINK("https://klasma.github.io/Logging_2026/klagomål/A 58427-2025 FSC-klagomål.docx", "A 58427-2025")</f>
        <v/>
      </c>
      <c r="Z19">
        <f>HYPERLINK("https://klasma.github.io/Logging_2026/klagomålsmail/A 58427-2025 FSC-klagomål mail.docx", "A 58427-2025")</f>
        <v/>
      </c>
      <c r="AA19">
        <f>HYPERLINK("https://klasma.github.io/Logging_2026/tillsyn/A 58427-2025 tillsynsbegäran.docx", "A 58427-2025")</f>
        <v/>
      </c>
      <c r="AB19">
        <f>HYPERLINK("https://klasma.github.io/Logging_2026/tillsynsmail/A 58427-2025 tillsynsbegäran mail.docx", "A 58427-2025")</f>
        <v/>
      </c>
      <c r="AC19">
        <f>HYPERLINK("https://klasma.github.io/Logging_2026/fåglar/A 58427-2025 prioriterade fågelarter.docx", "A 58427-2025")</f>
        <v/>
      </c>
    </row>
    <row r="20" ht="15" customHeight="1">
      <c r="A20" t="inlineStr">
        <is>
          <t>A 14015-2026</t>
        </is>
      </c>
      <c r="B20" t="inlineStr">
        <is>
          <t>avverkningsanmälan</t>
        </is>
      </c>
      <c r="C20" t="inlineStr">
        <is>
          <t>Föryngringsavverkning</t>
        </is>
      </c>
      <c r="D20" s="1" t="n">
        <v>46098</v>
      </c>
      <c r="E20" s="1" t="n">
        <v>46218</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s="2" t="inlineStr">
        <is>
          <t>Skrovlig taggsvamp
Dropptaggsvamp
Talltaggsvamp</t>
        </is>
      </c>
      <c r="V20">
        <f>HYPERLINK("https://klasma.github.io/Logging_2026/artfynd/A 14015-2026 artfynd.xlsx", "A 14015-2026")</f>
        <v/>
      </c>
      <c r="W20">
        <f>HYPERLINK("https://klasma.github.io/Logging_2026/kartor/A 14015-2026 karta.png", "A 14015-2026")</f>
        <v/>
      </c>
      <c r="Y20">
        <f>HYPERLINK("https://klasma.github.io/Logging_2026/klagomål/A 14015-2026 FSC-klagomål.docx", "A 14015-2026")</f>
        <v/>
      </c>
      <c r="Z20">
        <f>HYPERLINK("https://klasma.github.io/Logging_2026/klagomålsmail/A 14015-2026 FSC-klagomål mail.docx", "A 14015-2026")</f>
        <v/>
      </c>
      <c r="AA20">
        <f>HYPERLINK("https://klasma.github.io/Logging_2026/tillsyn/A 14015-2026 tillsynsbegäran.docx", "A 14015-2026")</f>
        <v/>
      </c>
      <c r="AB20">
        <f>HYPERLINK("https://klasma.github.io/Logging_2026/tillsynsmail/A 14015-2026 tillsynsbegäran mail.docx", "A 14015-2026")</f>
        <v/>
      </c>
    </row>
    <row r="21" ht="15" customHeight="1">
      <c r="A21" t="inlineStr">
        <is>
          <t>A 63654-2023</t>
        </is>
      </c>
      <c r="B21" t="inlineStr">
        <is>
          <t>avverkningsanmälan</t>
        </is>
      </c>
      <c r="C21" t="inlineStr">
        <is>
          <t>Föryngringsavverkning</t>
        </is>
      </c>
      <c r="D21" s="1" t="n">
        <v>45275</v>
      </c>
      <c r="E21" s="1" t="n">
        <v>46218</v>
      </c>
      <c r="F21" t="inlineStr">
        <is>
          <t>DALARNAS LÄN</t>
        </is>
      </c>
      <c r="G21" t="inlineStr">
        <is>
          <t>GAGNEF</t>
        </is>
      </c>
      <c r="I21" t="n">
        <v>5</v>
      </c>
      <c r="J21" t="n">
        <v>0</v>
      </c>
      <c r="K21" t="n">
        <v>1</v>
      </c>
      <c r="L21" t="n">
        <v>0</v>
      </c>
      <c r="M21" t="n">
        <v>1</v>
      </c>
      <c r="N21" t="n">
        <v>0</v>
      </c>
      <c r="O21" t="n">
        <v>0</v>
      </c>
      <c r="P21" t="n">
        <v>0</v>
      </c>
      <c r="Q21" t="n">
        <v>1</v>
      </c>
      <c r="R21" t="n">
        <v>1</v>
      </c>
      <c r="S21" t="n">
        <v>2</v>
      </c>
      <c r="T21" t="n">
        <v>4</v>
      </c>
      <c r="U21" s="2" t="inlineStr">
        <is>
          <t>Garnlav
Trådticka</t>
        </is>
      </c>
      <c r="V21">
        <f>HYPERLINK("https://klasma.github.io/Logging_2026/artfynd/A 63654-2023 artfynd.xlsx", "A 63654-2023")</f>
        <v/>
      </c>
      <c r="W21">
        <f>HYPERLINK("https://klasma.github.io/Logging_2026/kartor/A 63654-2023 karta.png", "A 63654-2023")</f>
        <v/>
      </c>
      <c r="Y21">
        <f>HYPERLINK("https://klasma.github.io/Logging_2026/klagomål/A 63654-2023 FSC-klagomål.docx", "A 63654-2023")</f>
        <v/>
      </c>
      <c r="Z21">
        <f>HYPERLINK("https://klasma.github.io/Logging_2026/klagomålsmail/A 63654-2023 FSC-klagomål mail.docx", "A 63654-2023")</f>
        <v/>
      </c>
      <c r="AA21">
        <f>HYPERLINK("https://klasma.github.io/Logging_2026/tillsyn/A 63654-2023 tillsynsbegäran.docx", "A 63654-2023")</f>
        <v/>
      </c>
      <c r="AB21">
        <f>HYPERLINK("https://klasma.github.io/Logging_2026/tillsynsmail/A 63654-2023 tillsynsbegäran mail.docx", "A 63654-2023")</f>
        <v/>
      </c>
    </row>
    <row r="22" ht="15" customHeight="1">
      <c r="A22" t="inlineStr">
        <is>
          <t>A 52436-2024</t>
        </is>
      </c>
      <c r="B22" t="inlineStr">
        <is>
          <t>avverkningsanmälan</t>
        </is>
      </c>
      <c r="C22" t="inlineStr">
        <is>
          <t>Föryngringsavverkning</t>
        </is>
      </c>
      <c r="D22" s="1" t="n">
        <v>45608</v>
      </c>
      <c r="E22" s="1" t="n">
        <v>46218</v>
      </c>
      <c r="F22" t="inlineStr">
        <is>
          <t>DALARNAS LÄN</t>
        </is>
      </c>
      <c r="G22" t="inlineStr">
        <is>
          <t>GAGNEF</t>
        </is>
      </c>
      <c r="I22" t="n">
        <v>1.2</v>
      </c>
      <c r="J22" t="n">
        <v>0</v>
      </c>
      <c r="K22" t="n">
        <v>0</v>
      </c>
      <c r="L22" t="n">
        <v>1</v>
      </c>
      <c r="M22" t="n">
        <v>1</v>
      </c>
      <c r="N22" t="n">
        <v>0</v>
      </c>
      <c r="O22" t="n">
        <v>0</v>
      </c>
      <c r="P22" t="n">
        <v>0</v>
      </c>
      <c r="Q22" t="n">
        <v>2</v>
      </c>
      <c r="R22" t="n">
        <v>1</v>
      </c>
      <c r="S22" t="n">
        <v>2</v>
      </c>
      <c r="T22" t="n">
        <v>4</v>
      </c>
      <c r="U22" s="2" t="inlineStr">
        <is>
          <t>Skrovlig taggsvamp
Dropptaggsvamp</t>
        </is>
      </c>
      <c r="V22">
        <f>HYPERLINK("https://klasma.github.io/Logging_2026/artfynd/A 52436-2024 artfynd.xlsx", "A 52436-2024")</f>
        <v/>
      </c>
      <c r="W22">
        <f>HYPERLINK("https://klasma.github.io/Logging_2026/kartor/A 52436-2024 karta.png", "A 52436-2024")</f>
        <v/>
      </c>
      <c r="Y22">
        <f>HYPERLINK("https://klasma.github.io/Logging_2026/klagomål/A 52436-2024 FSC-klagomål.docx", "A 52436-2024")</f>
        <v/>
      </c>
      <c r="Z22">
        <f>HYPERLINK("https://klasma.github.io/Logging_2026/klagomålsmail/A 52436-2024 FSC-klagomål mail.docx", "A 52436-2024")</f>
        <v/>
      </c>
      <c r="AA22">
        <f>HYPERLINK("https://klasma.github.io/Logging_2026/tillsyn/A 52436-2024 tillsynsbegäran.docx", "A 52436-2024")</f>
        <v/>
      </c>
      <c r="AB22">
        <f>HYPERLINK("https://klasma.github.io/Logging_2026/tillsynsmail/A 52436-2024 tillsynsbegäran mail.docx", "A 52436-2024")</f>
        <v/>
      </c>
    </row>
    <row r="23" ht="15" customHeight="1">
      <c r="A23" t="inlineStr">
        <is>
          <t>A 34418-2025</t>
        </is>
      </c>
      <c r="B23" t="inlineStr">
        <is>
          <t>avverkningsanmälan</t>
        </is>
      </c>
      <c r="C23" t="inlineStr">
        <is>
          <t>Föryngringsavverkning</t>
        </is>
      </c>
      <c r="D23" s="1" t="n">
        <v>45846</v>
      </c>
      <c r="E23" s="1" t="n">
        <v>46218</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s="2" t="inlineStr">
        <is>
          <t>Mörk kolflarnlav
Stuplav</t>
        </is>
      </c>
      <c r="V23">
        <f>HYPERLINK("https://klasma.github.io/Logging_2026/artfynd/A 34418-2025 artfynd.xlsx", "A 34418-2025")</f>
        <v/>
      </c>
      <c r="W23">
        <f>HYPERLINK("https://klasma.github.io/Logging_2026/kartor/A 34418-2025 karta.png", "A 34418-2025")</f>
        <v/>
      </c>
      <c r="Y23">
        <f>HYPERLINK("https://klasma.github.io/Logging_2026/klagomål/A 34418-2025 FSC-klagomål.docx", "A 34418-2025")</f>
        <v/>
      </c>
      <c r="Z23">
        <f>HYPERLINK("https://klasma.github.io/Logging_2026/klagomålsmail/A 34418-2025 FSC-klagomål mail.docx", "A 34418-2025")</f>
        <v/>
      </c>
      <c r="AA23">
        <f>HYPERLINK("https://klasma.github.io/Logging_2026/tillsyn/A 34418-2025 tillsynsbegäran.docx", "A 34418-2025")</f>
        <v/>
      </c>
      <c r="AB23">
        <f>HYPERLINK("https://klasma.github.io/Logging_2026/tillsynsmail/A 34418-2025 tillsynsbegäran mail.docx", "A 34418-2025")</f>
        <v/>
      </c>
    </row>
    <row r="24" ht="15" customHeight="1">
      <c r="A24" t="inlineStr">
        <is>
          <t>A 47815-2024</t>
        </is>
      </c>
      <c r="B24" t="inlineStr">
        <is>
          <t>avverkningsanmälan</t>
        </is>
      </c>
      <c r="C24" t="inlineStr">
        <is>
          <t>Föryngringsavverkning</t>
        </is>
      </c>
      <c r="D24" s="1" t="n">
        <v>45588</v>
      </c>
      <c r="E24" s="1" t="n">
        <v>46218</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s="2" t="inlineStr">
        <is>
          <t>Tretåig hackspett
Bollvitmossa</t>
        </is>
      </c>
      <c r="V24">
        <f>HYPERLINK("https://klasma.github.io/Logging_2026/artfynd/A 47815-2024 artfynd.xlsx", "A 47815-2024")</f>
        <v/>
      </c>
      <c r="W24">
        <f>HYPERLINK("https://klasma.github.io/Logging_2026/kartor/A 47815-2024 karta.png", "A 47815-2024")</f>
        <v/>
      </c>
      <c r="Y24">
        <f>HYPERLINK("https://klasma.github.io/Logging_2026/klagomål/A 47815-2024 FSC-klagomål.docx", "A 47815-2024")</f>
        <v/>
      </c>
      <c r="Z24">
        <f>HYPERLINK("https://klasma.github.io/Logging_2026/klagomålsmail/A 47815-2024 FSC-klagomål mail.docx", "A 47815-2024")</f>
        <v/>
      </c>
      <c r="AA24">
        <f>HYPERLINK("https://klasma.github.io/Logging_2026/tillsyn/A 47815-2024 tillsynsbegäran.docx", "A 47815-2024")</f>
        <v/>
      </c>
      <c r="AB24">
        <f>HYPERLINK("https://klasma.github.io/Logging_2026/tillsynsmail/A 47815-2024 tillsynsbegäran mail.docx", "A 47815-2024")</f>
        <v/>
      </c>
      <c r="AC24">
        <f>HYPERLINK("https://klasma.github.io/Logging_2026/fåglar/A 47815-2024 prioriterade fågelarter.docx", "A 47815-2024")</f>
        <v/>
      </c>
    </row>
    <row r="25" ht="15" customHeight="1">
      <c r="A25" t="inlineStr">
        <is>
          <t>A 3125-2026</t>
        </is>
      </c>
      <c r="B25" t="inlineStr">
        <is>
          <t>avverkningsanmälan</t>
        </is>
      </c>
      <c r="C25" t="inlineStr">
        <is>
          <t>Föryngringsavverkning</t>
        </is>
      </c>
      <c r="D25" s="1" t="n">
        <v>46041</v>
      </c>
      <c r="E25" s="1" t="n">
        <v>46218</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s="2" t="inlineStr">
        <is>
          <t>Rynkskinn
Ullticka</t>
        </is>
      </c>
      <c r="V25">
        <f>HYPERLINK("https://klasma.github.io/Logging_2026/artfynd/A 3125-2026 artfynd.xlsx", "A 3125-2026")</f>
        <v/>
      </c>
      <c r="W25">
        <f>HYPERLINK("https://klasma.github.io/Logging_2026/kartor/A 3125-2026 karta.png", "A 3125-2026")</f>
        <v/>
      </c>
      <c r="Y25">
        <f>HYPERLINK("https://klasma.github.io/Logging_2026/klagomål/A 3125-2026 FSC-klagomål.docx", "A 3125-2026")</f>
        <v/>
      </c>
      <c r="Z25">
        <f>HYPERLINK("https://klasma.github.io/Logging_2026/klagomålsmail/A 3125-2026 FSC-klagomål mail.docx", "A 3125-2026")</f>
        <v/>
      </c>
      <c r="AA25">
        <f>HYPERLINK("https://klasma.github.io/Logging_2026/tillsyn/A 3125-2026 tillsynsbegäran.docx", "A 3125-2026")</f>
        <v/>
      </c>
      <c r="AB25">
        <f>HYPERLINK("https://klasma.github.io/Logging_2026/tillsynsmail/A 3125-2026 tillsynsbegäran mail.docx", "A 3125-2026")</f>
        <v/>
      </c>
    </row>
    <row r="26" ht="15" customHeight="1">
      <c r="A26" t="inlineStr">
        <is>
          <t>A 21887-2026</t>
        </is>
      </c>
      <c r="B26" t="inlineStr">
        <is>
          <t>avverkningsanmälan</t>
        </is>
      </c>
      <c r="C26" t="inlineStr">
        <is>
          <t>Föryngringsavverkning</t>
        </is>
      </c>
      <c r="D26" s="1" t="n">
        <v>46150</v>
      </c>
      <c r="E26" s="1" t="n">
        <v>46218</v>
      </c>
      <c r="F26" t="inlineStr">
        <is>
          <t>DALARNAS LÄN</t>
        </is>
      </c>
      <c r="G26" t="inlineStr">
        <is>
          <t>GAGNEF</t>
        </is>
      </c>
      <c r="I26" t="n">
        <v>2</v>
      </c>
      <c r="J26" t="n">
        <v>2</v>
      </c>
      <c r="K26" t="n">
        <v>0</v>
      </c>
      <c r="L26" t="n">
        <v>0</v>
      </c>
      <c r="M26" t="n">
        <v>0</v>
      </c>
      <c r="N26" t="n">
        <v>0</v>
      </c>
      <c r="O26" t="n">
        <v>0</v>
      </c>
      <c r="P26" t="n">
        <v>0</v>
      </c>
      <c r="Q26" t="n">
        <v>0</v>
      </c>
      <c r="R26" t="n">
        <v>0</v>
      </c>
      <c r="S26" t="n">
        <v>2</v>
      </c>
      <c r="T26" t="n">
        <v>2</v>
      </c>
      <c r="U26" s="2" t="inlineStr">
        <is>
          <t>Mattlummer
Spillkråka</t>
        </is>
      </c>
      <c r="V26">
        <f>HYPERLINK("https://klasma.github.io/Logging_2026/artfynd/A 21887-2026 artfynd.xlsx", "A 21887-2026")</f>
        <v/>
      </c>
      <c r="W26">
        <f>HYPERLINK("https://klasma.github.io/Logging_2026/kartor/A 21887-2026 karta.png", "A 21887-2026")</f>
        <v/>
      </c>
      <c r="Y26">
        <f>HYPERLINK("https://klasma.github.io/Logging_2026/klagomål/A 21887-2026 FSC-klagomål.docx", "A 21887-2026")</f>
        <v/>
      </c>
      <c r="Z26">
        <f>HYPERLINK("https://klasma.github.io/Logging_2026/klagomålsmail/A 21887-2026 FSC-klagomål mail.docx", "A 21887-2026")</f>
        <v/>
      </c>
      <c r="AA26">
        <f>HYPERLINK("https://klasma.github.io/Logging_2026/tillsyn/A 21887-2026 tillsynsbegäran.docx", "A 21887-2026")</f>
        <v/>
      </c>
      <c r="AB26">
        <f>HYPERLINK("https://klasma.github.io/Logging_2026/tillsynsmail/A 21887-2026 tillsynsbegäran mail.docx", "A 21887-2026")</f>
        <v/>
      </c>
      <c r="AC26">
        <f>HYPERLINK("https://klasma.github.io/Logging_2026/fåglar/A 21887-2026 prioriterade fågelarter.docx", "A 21887-2026")</f>
        <v/>
      </c>
    </row>
    <row r="27" ht="15" customHeight="1">
      <c r="A27" t="inlineStr">
        <is>
          <t>A 35464-2025</t>
        </is>
      </c>
      <c r="B27" t="inlineStr">
        <is>
          <t>avverkningsanmälan</t>
        </is>
      </c>
      <c r="C27" t="inlineStr">
        <is>
          <t>Föryngringsavverkning</t>
        </is>
      </c>
      <c r="D27" s="1" t="n">
        <v>45855</v>
      </c>
      <c r="E27" s="1" t="n">
        <v>46218</v>
      </c>
      <c r="F27" t="inlineStr">
        <is>
          <t>DALARNAS LÄN</t>
        </is>
      </c>
      <c r="G27" t="inlineStr">
        <is>
          <t>GAGNEF</t>
        </is>
      </c>
      <c r="I27" t="n">
        <v>2.7</v>
      </c>
      <c r="J27" t="n">
        <v>2</v>
      </c>
      <c r="K27" t="n">
        <v>0</v>
      </c>
      <c r="L27" t="n">
        <v>0</v>
      </c>
      <c r="M27" t="n">
        <v>1</v>
      </c>
      <c r="N27" t="n">
        <v>0</v>
      </c>
      <c r="O27" t="n">
        <v>0</v>
      </c>
      <c r="P27" t="n">
        <v>0</v>
      </c>
      <c r="Q27" t="n">
        <v>1</v>
      </c>
      <c r="R27" t="n">
        <v>1</v>
      </c>
      <c r="S27" t="n">
        <v>2</v>
      </c>
      <c r="T27" t="n">
        <v>8</v>
      </c>
      <c r="U27" s="2" t="inlineStr">
        <is>
          <t>Knärot
Järpe</t>
        </is>
      </c>
      <c r="V27">
        <f>HYPERLINK("https://klasma.github.io/Logging_2026/artfynd/A 35464-2025 artfynd.xlsx", "A 35464-2025")</f>
        <v/>
      </c>
      <c r="W27">
        <f>HYPERLINK("https://klasma.github.io/Logging_2026/kartor/A 35464-2025 karta.png", "A 35464-2025")</f>
        <v/>
      </c>
      <c r="X27">
        <f>HYPERLINK("https://klasma.github.io/Logging_2026/knärot/A 35464-2025 karta knärot.png", "A 35464-2025")</f>
        <v/>
      </c>
      <c r="Y27">
        <f>HYPERLINK("https://klasma.github.io/Logging_2026/klagomål/A 35464-2025 FSC-klagomål.docx", "A 35464-2025")</f>
        <v/>
      </c>
      <c r="Z27">
        <f>HYPERLINK("https://klasma.github.io/Logging_2026/klagomålsmail/A 35464-2025 FSC-klagomål mail.docx", "A 35464-2025")</f>
        <v/>
      </c>
      <c r="AA27">
        <f>HYPERLINK("https://klasma.github.io/Logging_2026/tillsyn/A 35464-2025 tillsynsbegäran.docx", "A 35464-2025")</f>
        <v/>
      </c>
      <c r="AB27">
        <f>HYPERLINK("https://klasma.github.io/Logging_2026/tillsynsmail/A 35464-2025 tillsynsbegäran mail.docx", "A 35464-2025")</f>
        <v/>
      </c>
      <c r="AC27">
        <f>HYPERLINK("https://klasma.github.io/Logging_2026/fåglar/A 35464-2025 prioriterade fågelarter.docx", "A 35464-2025")</f>
        <v/>
      </c>
    </row>
    <row r="28" ht="15" customHeight="1">
      <c r="A28" t="inlineStr">
        <is>
          <t>A 4421-2026</t>
        </is>
      </c>
      <c r="B28" t="inlineStr">
        <is>
          <t>avverkningsanmälan</t>
        </is>
      </c>
      <c r="C28" t="inlineStr">
        <is>
          <t>Föryngringsavverkning</t>
        </is>
      </c>
      <c r="D28" s="1" t="n">
        <v>46045</v>
      </c>
      <c r="E28" s="1" t="n">
        <v>46218</v>
      </c>
      <c r="F28" t="inlineStr">
        <is>
          <t>DALARNAS LÄN</t>
        </is>
      </c>
      <c r="G28" t="inlineStr">
        <is>
          <t>GAGNEF</t>
        </is>
      </c>
      <c r="H28" t="inlineStr">
        <is>
          <t>Kommuner</t>
        </is>
      </c>
      <c r="I28" t="n">
        <v>8.300000000000001</v>
      </c>
      <c r="J28" t="n">
        <v>0</v>
      </c>
      <c r="K28" t="n">
        <v>0</v>
      </c>
      <c r="L28" t="n">
        <v>2</v>
      </c>
      <c r="M28" t="n">
        <v>0</v>
      </c>
      <c r="N28" t="n">
        <v>0</v>
      </c>
      <c r="O28" t="n">
        <v>0</v>
      </c>
      <c r="P28" t="n">
        <v>0</v>
      </c>
      <c r="Q28" t="n">
        <v>2</v>
      </c>
      <c r="R28" t="n">
        <v>0</v>
      </c>
      <c r="S28" t="n">
        <v>2</v>
      </c>
      <c r="T28" t="n">
        <v>2</v>
      </c>
      <c r="U28" s="2" t="inlineStr">
        <is>
          <t>Rosenticka
Ullticka</t>
        </is>
      </c>
      <c r="V28">
        <f>HYPERLINK("https://klasma.github.io/Logging_2026/artfynd/A 4421-2026 artfynd.xlsx", "A 4421-2026")</f>
        <v/>
      </c>
      <c r="W28">
        <f>HYPERLINK("https://klasma.github.io/Logging_2026/kartor/A 4421-2026 karta.png", "A 4421-2026")</f>
        <v/>
      </c>
      <c r="Y28">
        <f>HYPERLINK("https://klasma.github.io/Logging_2026/klagomål/A 4421-2026 FSC-klagomål.docx", "A 4421-2026")</f>
        <v/>
      </c>
      <c r="Z28">
        <f>HYPERLINK("https://klasma.github.io/Logging_2026/klagomålsmail/A 4421-2026 FSC-klagomål mail.docx", "A 4421-2026")</f>
        <v/>
      </c>
      <c r="AA28">
        <f>HYPERLINK("https://klasma.github.io/Logging_2026/tillsyn/A 4421-2026 tillsynsbegäran.docx", "A 4421-2026")</f>
        <v/>
      </c>
      <c r="AB28">
        <f>HYPERLINK("https://klasma.github.io/Logging_2026/tillsynsmail/A 4421-2026 tillsynsbegäran mail.docx", "A 4421-2026")</f>
        <v/>
      </c>
    </row>
    <row r="29" ht="15" customHeight="1">
      <c r="A29" t="inlineStr">
        <is>
          <t>A 13950-2026</t>
        </is>
      </c>
      <c r="B29" t="inlineStr">
        <is>
          <t>avverkningsanmälan</t>
        </is>
      </c>
      <c r="C29" t="inlineStr">
        <is>
          <t>Föryngringsavverkning</t>
        </is>
      </c>
      <c r="D29" s="1" t="n">
        <v>46098</v>
      </c>
      <c r="E29" s="1" t="n">
        <v>46218</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s="2" t="inlineStr">
        <is>
          <t>Mindre vattensalamander
Vanlig groda</t>
        </is>
      </c>
      <c r="V29">
        <f>HYPERLINK("https://klasma.github.io/Logging_2026/artfynd/A 13950-2026 artfynd.xlsx", "A 13950-2026")</f>
        <v/>
      </c>
      <c r="W29">
        <f>HYPERLINK("https://klasma.github.io/Logging_2026/kartor/A 13950-2026 karta.png", "A 13950-2026")</f>
        <v/>
      </c>
      <c r="Y29">
        <f>HYPERLINK("https://klasma.github.io/Logging_2026/klagomål/A 13950-2026 FSC-klagomål.docx", "A 13950-2026")</f>
        <v/>
      </c>
      <c r="Z29">
        <f>HYPERLINK("https://klasma.github.io/Logging_2026/klagomålsmail/A 13950-2026 FSC-klagomål mail.docx", "A 13950-2026")</f>
        <v/>
      </c>
      <c r="AA29">
        <f>HYPERLINK("https://klasma.github.io/Logging_2026/tillsyn/A 13950-2026 tillsynsbegäran.docx", "A 13950-2026")</f>
        <v/>
      </c>
      <c r="AB29">
        <f>HYPERLINK("https://klasma.github.io/Logging_2026/tillsynsmail/A 13950-2026 tillsynsbegäran mail.docx", "A 13950-2026")</f>
        <v/>
      </c>
    </row>
    <row r="30" ht="15" customHeight="1">
      <c r="A30" t="inlineStr">
        <is>
          <t>A 16480-2026</t>
        </is>
      </c>
      <c r="B30" t="inlineStr">
        <is>
          <t>avverkningsanmälan</t>
        </is>
      </c>
      <c r="C30" t="inlineStr">
        <is>
          <t>Föryngringsavverkning</t>
        </is>
      </c>
      <c r="D30" s="1" t="n">
        <v>46112</v>
      </c>
      <c r="E30" s="1" t="n">
        <v>46218</v>
      </c>
      <c r="F30" t="inlineStr">
        <is>
          <t>DALARNAS LÄN</t>
        </is>
      </c>
      <c r="G30" t="inlineStr">
        <is>
          <t>GAGNEF</t>
        </is>
      </c>
      <c r="I30" t="n">
        <v>0.9</v>
      </c>
      <c r="J30" t="n">
        <v>0</v>
      </c>
      <c r="K30" t="n">
        <v>1</v>
      </c>
      <c r="L30" t="n">
        <v>1</v>
      </c>
      <c r="M30" t="n">
        <v>0</v>
      </c>
      <c r="N30" t="n">
        <v>0</v>
      </c>
      <c r="O30" t="n">
        <v>0</v>
      </c>
      <c r="P30" t="n">
        <v>0</v>
      </c>
      <c r="Q30" t="n">
        <v>1</v>
      </c>
      <c r="R30" t="n">
        <v>0</v>
      </c>
      <c r="S30" t="n">
        <v>2</v>
      </c>
      <c r="T30" t="n">
        <v>2</v>
      </c>
      <c r="U30" s="2" t="inlineStr">
        <is>
          <t>Backnopping
Blodvaxing</t>
        </is>
      </c>
      <c r="V30">
        <f>HYPERLINK("https://klasma.github.io/Logging_2026/artfynd/A 16480-2026 artfynd.xlsx", "A 16480-2026")</f>
        <v/>
      </c>
      <c r="W30">
        <f>HYPERLINK("https://klasma.github.io/Logging_2026/kartor/A 16480-2026 karta.png", "A 16480-2026")</f>
        <v/>
      </c>
      <c r="Y30">
        <f>HYPERLINK("https://klasma.github.io/Logging_2026/klagomål/A 16480-2026 FSC-klagomål.docx", "A 16480-2026")</f>
        <v/>
      </c>
      <c r="Z30">
        <f>HYPERLINK("https://klasma.github.io/Logging_2026/klagomålsmail/A 16480-2026 FSC-klagomål mail.docx", "A 16480-2026")</f>
        <v/>
      </c>
      <c r="AA30">
        <f>HYPERLINK("https://klasma.github.io/Logging_2026/tillsyn/A 16480-2026 tillsynsbegäran.docx", "A 16480-2026")</f>
        <v/>
      </c>
      <c r="AB30">
        <f>HYPERLINK("https://klasma.github.io/Logging_2026/tillsynsmail/A 16480-2026 tillsynsbegäran mail.docx", "A 16480-2026")</f>
        <v/>
      </c>
    </row>
    <row r="31" ht="15" customHeight="1">
      <c r="A31" t="inlineStr">
        <is>
          <t>S 2400-2023</t>
        </is>
      </c>
      <c r="B31" t="inlineStr">
        <is>
          <t>samrådsanmälan</t>
        </is>
      </c>
      <c r="C31" t="inlineStr">
        <is>
          <t>Annan skogsbruksåtgärd</t>
        </is>
      </c>
      <c r="D31" s="1" t="n">
        <v>45112</v>
      </c>
      <c r="E31" s="1" t="n">
        <v>46218</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s="2" t="inlineStr">
        <is>
          <t>Ullticka
Vedticka</t>
        </is>
      </c>
      <c r="V31">
        <f>HYPERLINK("https://klasma.github.io/Logging_2026/artfynd/S 2400-2023 artfynd.xlsx", "S 2400-2023")</f>
        <v/>
      </c>
      <c r="W31">
        <f>HYPERLINK("https://klasma.github.io/Logging_2026/kartor/S 2400-2023 karta.png", "S 2400-2023")</f>
        <v/>
      </c>
      <c r="Y31">
        <f>HYPERLINK("https://klasma.github.io/Logging_2026/klagomål/S 2400-2023 FSC-klagomål.docx", "S 2400-2023")</f>
        <v/>
      </c>
      <c r="Z31">
        <f>HYPERLINK("https://klasma.github.io/Logging_2026/klagomålsmail/S 2400-2023 FSC-klagomål mail.docx", "S 2400-2023")</f>
        <v/>
      </c>
      <c r="AA31">
        <f>HYPERLINK("https://klasma.github.io/Logging_2026/tillsyn/S 2400-2023 tillsynsbegäran.docx", "S 2400-2023")</f>
        <v/>
      </c>
      <c r="AB31">
        <f>HYPERLINK("https://klasma.github.io/Logging_2026/tillsynsmail/S 2400-2023 tillsynsbegäran mail.docx", "S 2400-2023")</f>
        <v/>
      </c>
    </row>
    <row r="32" ht="15" customHeight="1">
      <c r="A32" t="inlineStr">
        <is>
          <t>A 37131-2021</t>
        </is>
      </c>
      <c r="B32" t="inlineStr">
        <is>
          <t>avverkningsanmälan</t>
        </is>
      </c>
      <c r="C32" t="inlineStr">
        <is>
          <t>Föryngringsavverkning</t>
        </is>
      </c>
      <c r="D32" s="1" t="n">
        <v>44396</v>
      </c>
      <c r="E32" s="1" t="n">
        <v>46218</v>
      </c>
      <c r="F32" t="inlineStr">
        <is>
          <t>DALARNAS LÄN</t>
        </is>
      </c>
      <c r="G32" t="inlineStr">
        <is>
          <t>GAGNEF</t>
        </is>
      </c>
      <c r="I32" t="n">
        <v>1.8</v>
      </c>
      <c r="J32" t="n">
        <v>1</v>
      </c>
      <c r="K32" t="n">
        <v>0</v>
      </c>
      <c r="L32" t="n">
        <v>0</v>
      </c>
      <c r="M32" t="n">
        <v>0</v>
      </c>
      <c r="N32" t="n">
        <v>0</v>
      </c>
      <c r="O32" t="n">
        <v>0</v>
      </c>
      <c r="P32" t="n">
        <v>0</v>
      </c>
      <c r="Q32" t="n">
        <v>0</v>
      </c>
      <c r="R32" t="n">
        <v>0</v>
      </c>
      <c r="S32" t="n">
        <v>1</v>
      </c>
      <c r="T32" t="n">
        <v>1</v>
      </c>
      <c r="U32" s="2" t="inlineStr">
        <is>
          <t>Slaguggla</t>
        </is>
      </c>
      <c r="V32">
        <f>HYPERLINK("https://klasma.github.io/Logging_2026/artfynd/A 37131-2021 artfynd.xlsx", "A 37131-2021")</f>
        <v/>
      </c>
      <c r="W32">
        <f>HYPERLINK("https://klasma.github.io/Logging_2026/kartor/A 37131-2021 karta.png", "A 37131-2021")</f>
        <v/>
      </c>
      <c r="Y32">
        <f>HYPERLINK("https://klasma.github.io/Logging_2026/klagomål/A 37131-2021 FSC-klagomål.docx", "A 37131-2021")</f>
        <v/>
      </c>
      <c r="Z32">
        <f>HYPERLINK("https://klasma.github.io/Logging_2026/klagomålsmail/A 37131-2021 FSC-klagomål mail.docx", "A 37131-2021")</f>
        <v/>
      </c>
      <c r="AA32">
        <f>HYPERLINK("https://klasma.github.io/Logging_2026/tillsyn/A 37131-2021 tillsynsbegäran.docx", "A 37131-2021")</f>
        <v/>
      </c>
      <c r="AB32">
        <f>HYPERLINK("https://klasma.github.io/Logging_2026/tillsynsmail/A 37131-2021 tillsynsbegäran mail.docx", "A 37131-2021")</f>
        <v/>
      </c>
      <c r="AC32">
        <f>HYPERLINK("https://klasma.github.io/Logging_2026/fåglar/A 37131-2021 prioriterade fågelarter.docx", "A 37131-2021")</f>
        <v/>
      </c>
    </row>
    <row r="33" ht="15" customHeight="1">
      <c r="A33" t="inlineStr">
        <is>
          <t>A 64510-2021</t>
        </is>
      </c>
      <c r="B33" t="inlineStr">
        <is>
          <t>avverkningsanmälan</t>
        </is>
      </c>
      <c r="C33" t="inlineStr">
        <is>
          <t>Avverkning för att bevara och utveckla /försöksver</t>
        </is>
      </c>
      <c r="D33" s="1" t="n">
        <v>44511</v>
      </c>
      <c r="E33" s="1" t="n">
        <v>46218</v>
      </c>
      <c r="F33" t="inlineStr">
        <is>
          <t>DALARNAS LÄN</t>
        </is>
      </c>
      <c r="G33" t="inlineStr">
        <is>
          <t>GAGNEF</t>
        </is>
      </c>
      <c r="I33" t="n">
        <v>2.7</v>
      </c>
      <c r="J33" t="n">
        <v>0</v>
      </c>
      <c r="K33" t="n">
        <v>0</v>
      </c>
      <c r="L33" t="n">
        <v>1</v>
      </c>
      <c r="M33" t="n">
        <v>0</v>
      </c>
      <c r="N33" t="n">
        <v>0</v>
      </c>
      <c r="O33" t="n">
        <v>0</v>
      </c>
      <c r="P33" t="n">
        <v>0</v>
      </c>
      <c r="Q33" t="n">
        <v>1</v>
      </c>
      <c r="R33" t="n">
        <v>0</v>
      </c>
      <c r="S33" t="n">
        <v>1</v>
      </c>
      <c r="T33" t="n">
        <v>1</v>
      </c>
      <c r="U33" s="2" t="inlineStr">
        <is>
          <t>Grönhjon</t>
        </is>
      </c>
      <c r="V33">
        <f>HYPERLINK("https://klasma.github.io/Logging_2026/artfynd/A 64510-2021 artfynd.xlsx", "A 64510-2021")</f>
        <v/>
      </c>
      <c r="W33">
        <f>HYPERLINK("https://klasma.github.io/Logging_2026/kartor/A 64510-2021 karta.png", "A 64510-2021")</f>
        <v/>
      </c>
      <c r="Y33">
        <f>HYPERLINK("https://klasma.github.io/Logging_2026/klagomål/A 64510-2021 FSC-klagomål.docx", "A 64510-2021")</f>
        <v/>
      </c>
      <c r="Z33">
        <f>HYPERLINK("https://klasma.github.io/Logging_2026/klagomålsmail/A 64510-2021 FSC-klagomål mail.docx", "A 64510-2021")</f>
        <v/>
      </c>
      <c r="AA33">
        <f>HYPERLINK("https://klasma.github.io/Logging_2026/tillsyn/A 64510-2021 tillsynsbegäran.docx", "A 64510-2021")</f>
        <v/>
      </c>
      <c r="AB33">
        <f>HYPERLINK("https://klasma.github.io/Logging_2026/tillsynsmail/A 64510-2021 tillsynsbegäran mail.docx", "A 64510-2021")</f>
        <v/>
      </c>
    </row>
    <row r="34" ht="15" customHeight="1">
      <c r="A34" t="inlineStr">
        <is>
          <t>A 28550-2024</t>
        </is>
      </c>
      <c r="B34" t="inlineStr">
        <is>
          <t>avverkningsanmälan</t>
        </is>
      </c>
      <c r="C34" t="inlineStr">
        <is>
          <t>Föryngringsavverkning</t>
        </is>
      </c>
      <c r="D34" s="1" t="n">
        <v>45478</v>
      </c>
      <c r="E34" s="1" t="n">
        <v>46218</v>
      </c>
      <c r="F34" t="inlineStr">
        <is>
          <t>DALARNAS LÄN</t>
        </is>
      </c>
      <c r="G34" t="inlineStr">
        <is>
          <t>GAGNEF</t>
        </is>
      </c>
      <c r="H34" t="inlineStr">
        <is>
          <t>Bergvik skog väst AB</t>
        </is>
      </c>
      <c r="I34" t="n">
        <v>2.6</v>
      </c>
      <c r="J34" t="n">
        <v>0</v>
      </c>
      <c r="K34" t="n">
        <v>0</v>
      </c>
      <c r="L34" t="n">
        <v>0</v>
      </c>
      <c r="M34" t="n">
        <v>1</v>
      </c>
      <c r="N34" t="n">
        <v>0</v>
      </c>
      <c r="O34" t="n">
        <v>0</v>
      </c>
      <c r="P34" t="n">
        <v>0</v>
      </c>
      <c r="Q34" t="n">
        <v>1</v>
      </c>
      <c r="R34" t="n">
        <v>1</v>
      </c>
      <c r="S34" t="n">
        <v>1</v>
      </c>
      <c r="T34" t="n">
        <v>1</v>
      </c>
      <c r="U34" s="2" t="inlineStr">
        <is>
          <t>Citronporing</t>
        </is>
      </c>
      <c r="V34">
        <f>HYPERLINK("https://klasma.github.io/Logging_2026/artfynd/A 28550-2024 artfynd.xlsx", "A 28550-2024")</f>
        <v/>
      </c>
      <c r="W34">
        <f>HYPERLINK("https://klasma.github.io/Logging_2026/kartor/A 28550-2024 karta.png", "A 28550-2024")</f>
        <v/>
      </c>
      <c r="Y34">
        <f>HYPERLINK("https://klasma.github.io/Logging_2026/klagomål/A 28550-2024 FSC-klagomål.docx", "A 28550-2024")</f>
        <v/>
      </c>
      <c r="Z34">
        <f>HYPERLINK("https://klasma.github.io/Logging_2026/klagomålsmail/A 28550-2024 FSC-klagomål mail.docx", "A 28550-2024")</f>
        <v/>
      </c>
      <c r="AA34">
        <f>HYPERLINK("https://klasma.github.io/Logging_2026/tillsyn/A 28550-2024 tillsynsbegäran.docx", "A 28550-2024")</f>
        <v/>
      </c>
      <c r="AB34">
        <f>HYPERLINK("https://klasma.github.io/Logging_2026/tillsynsmail/A 28550-2024 tillsynsbegäran mail.docx", "A 28550-2024")</f>
        <v/>
      </c>
    </row>
    <row r="35" ht="15" customHeight="1">
      <c r="A35" t="inlineStr">
        <is>
          <t>A 34313-2025</t>
        </is>
      </c>
      <c r="B35" t="inlineStr">
        <is>
          <t>avverkningsanmälan</t>
        </is>
      </c>
      <c r="C35" t="inlineStr">
        <is>
          <t>Föryngringsavverkning</t>
        </is>
      </c>
      <c r="D35" s="1" t="n">
        <v>45846</v>
      </c>
      <c r="E35" s="1" t="n">
        <v>46218</v>
      </c>
      <c r="F35" t="inlineStr">
        <is>
          <t>DALARNAS LÄN</t>
        </is>
      </c>
      <c r="G35" t="inlineStr">
        <is>
          <t>GAGNEF</t>
        </is>
      </c>
      <c r="I35" t="n">
        <v>3.1</v>
      </c>
      <c r="J35" t="n">
        <v>0</v>
      </c>
      <c r="K35" t="n">
        <v>0</v>
      </c>
      <c r="L35" t="n">
        <v>0</v>
      </c>
      <c r="M35" t="n">
        <v>1</v>
      </c>
      <c r="N35" t="n">
        <v>0</v>
      </c>
      <c r="O35" t="n">
        <v>0</v>
      </c>
      <c r="P35" t="n">
        <v>0</v>
      </c>
      <c r="Q35" t="n">
        <v>1</v>
      </c>
      <c r="R35" t="n">
        <v>1</v>
      </c>
      <c r="S35" t="n">
        <v>1</v>
      </c>
      <c r="T35" t="n">
        <v>1</v>
      </c>
      <c r="U35" s="2" t="inlineStr">
        <is>
          <t>Garnlav</t>
        </is>
      </c>
      <c r="V35">
        <f>HYPERLINK("https://klasma.github.io/Logging_2026/artfynd/A 34313-2025 artfynd.xlsx", "A 34313-2025")</f>
        <v/>
      </c>
      <c r="W35">
        <f>HYPERLINK("https://klasma.github.io/Logging_2026/kartor/A 34313-2025 karta.png", "A 34313-2025")</f>
        <v/>
      </c>
      <c r="Y35">
        <f>HYPERLINK("https://klasma.github.io/Logging_2026/klagomål/A 34313-2025 FSC-klagomål.docx", "A 34313-2025")</f>
        <v/>
      </c>
      <c r="Z35">
        <f>HYPERLINK("https://klasma.github.io/Logging_2026/klagomålsmail/A 34313-2025 FSC-klagomål mail.docx", "A 34313-2025")</f>
        <v/>
      </c>
      <c r="AA35">
        <f>HYPERLINK("https://klasma.github.io/Logging_2026/tillsyn/A 34313-2025 tillsynsbegäran.docx", "A 34313-2025")</f>
        <v/>
      </c>
      <c r="AB35">
        <f>HYPERLINK("https://klasma.github.io/Logging_2026/tillsynsmail/A 34313-2025 tillsynsbegäran mail.docx", "A 34313-2025")</f>
        <v/>
      </c>
    </row>
    <row r="36" ht="15" customHeight="1">
      <c r="A36" t="inlineStr">
        <is>
          <t>A 33102-2025</t>
        </is>
      </c>
      <c r="B36" t="inlineStr">
        <is>
          <t>avverkningsanmälan</t>
        </is>
      </c>
      <c r="C36" t="inlineStr">
        <is>
          <t>Föryngringsavverkning</t>
        </is>
      </c>
      <c r="D36" s="1" t="n">
        <v>45840</v>
      </c>
      <c r="E36" s="1" t="n">
        <v>46218</v>
      </c>
      <c r="F36" t="inlineStr">
        <is>
          <t>DALARNAS LÄN</t>
        </is>
      </c>
      <c r="G36" t="inlineStr">
        <is>
          <t>GAGNEF</t>
        </is>
      </c>
      <c r="I36" t="n">
        <v>2.1</v>
      </c>
      <c r="J36" t="n">
        <v>0</v>
      </c>
      <c r="K36" t="n">
        <v>1</v>
      </c>
      <c r="L36" t="n">
        <v>0</v>
      </c>
      <c r="M36" t="n">
        <v>0</v>
      </c>
      <c r="N36" t="n">
        <v>0</v>
      </c>
      <c r="O36" t="n">
        <v>0</v>
      </c>
      <c r="P36" t="n">
        <v>0</v>
      </c>
      <c r="Q36" t="n">
        <v>0</v>
      </c>
      <c r="R36" t="n">
        <v>0</v>
      </c>
      <c r="S36" t="n">
        <v>1</v>
      </c>
      <c r="T36" t="n">
        <v>1</v>
      </c>
      <c r="U36" s="2" t="inlineStr">
        <is>
          <t>Bollvitmossa</t>
        </is>
      </c>
      <c r="V36">
        <f>HYPERLINK("https://klasma.github.io/Logging_2026/artfynd/A 33102-2025 artfynd.xlsx", "A 33102-2025")</f>
        <v/>
      </c>
      <c r="W36">
        <f>HYPERLINK("https://klasma.github.io/Logging_2026/kartor/A 33102-2025 karta.png", "A 33102-2025")</f>
        <v/>
      </c>
      <c r="Y36">
        <f>HYPERLINK("https://klasma.github.io/Logging_2026/klagomål/A 33102-2025 FSC-klagomål.docx", "A 33102-2025")</f>
        <v/>
      </c>
      <c r="Z36">
        <f>HYPERLINK("https://klasma.github.io/Logging_2026/klagomålsmail/A 33102-2025 FSC-klagomål mail.docx", "A 33102-2025")</f>
        <v/>
      </c>
      <c r="AA36">
        <f>HYPERLINK("https://klasma.github.io/Logging_2026/tillsyn/A 33102-2025 tillsynsbegäran.docx", "A 33102-2025")</f>
        <v/>
      </c>
      <c r="AB36">
        <f>HYPERLINK("https://klasma.github.io/Logging_2026/tillsynsmail/A 33102-2025 tillsynsbegäran mail.docx", "A 33102-2025")</f>
        <v/>
      </c>
    </row>
    <row r="37" ht="15" customHeight="1">
      <c r="A37" t="inlineStr">
        <is>
          <t>A 19046-2025</t>
        </is>
      </c>
      <c r="B37" t="inlineStr">
        <is>
          <t>avverkningsanmälan</t>
        </is>
      </c>
      <c r="C37" t="inlineStr">
        <is>
          <t>Föryngringsavverkning</t>
        </is>
      </c>
      <c r="D37" s="1" t="n">
        <v>45764</v>
      </c>
      <c r="E37" s="1" t="n">
        <v>46218</v>
      </c>
      <c r="F37" t="inlineStr">
        <is>
          <t>DALARNAS LÄN</t>
        </is>
      </c>
      <c r="G37" t="inlineStr">
        <is>
          <t>GAGNEF</t>
        </is>
      </c>
      <c r="I37" t="n">
        <v>20.4</v>
      </c>
      <c r="J37" t="n">
        <v>1</v>
      </c>
      <c r="K37" t="n">
        <v>0</v>
      </c>
      <c r="L37" t="n">
        <v>0</v>
      </c>
      <c r="M37" t="n">
        <v>0</v>
      </c>
      <c r="N37" t="n">
        <v>0</v>
      </c>
      <c r="O37" t="n">
        <v>0</v>
      </c>
      <c r="P37" t="n">
        <v>0</v>
      </c>
      <c r="Q37" t="n">
        <v>0</v>
      </c>
      <c r="R37" t="n">
        <v>0</v>
      </c>
      <c r="S37" t="n">
        <v>1</v>
      </c>
      <c r="T37" t="n">
        <v>1</v>
      </c>
      <c r="U37" s="2" t="inlineStr">
        <is>
          <t>Mattlummer</t>
        </is>
      </c>
      <c r="V37">
        <f>HYPERLINK("https://klasma.github.io/Logging_2026/artfynd/A 19046-2025 artfynd.xlsx", "A 19046-2025")</f>
        <v/>
      </c>
      <c r="W37">
        <f>HYPERLINK("https://klasma.github.io/Logging_2026/kartor/A 19046-2025 karta.png", "A 19046-2025")</f>
        <v/>
      </c>
      <c r="Y37">
        <f>HYPERLINK("https://klasma.github.io/Logging_2026/klagomål/A 19046-2025 FSC-klagomål.docx", "A 19046-2025")</f>
        <v/>
      </c>
      <c r="Z37">
        <f>HYPERLINK("https://klasma.github.io/Logging_2026/klagomålsmail/A 19046-2025 FSC-klagomål mail.docx", "A 19046-2025")</f>
        <v/>
      </c>
      <c r="AA37">
        <f>HYPERLINK("https://klasma.github.io/Logging_2026/tillsyn/A 19046-2025 tillsynsbegäran.docx", "A 19046-2025")</f>
        <v/>
      </c>
      <c r="AB37">
        <f>HYPERLINK("https://klasma.github.io/Logging_2026/tillsynsmail/A 19046-2025 tillsynsbegäran mail.docx", "A 19046-2025")</f>
        <v/>
      </c>
    </row>
    <row r="38" ht="15" customHeight="1">
      <c r="A38" t="inlineStr">
        <is>
          <t>A 28191-2026</t>
        </is>
      </c>
      <c r="B38" t="inlineStr">
        <is>
          <t>avverkningsanmälan</t>
        </is>
      </c>
      <c r="C38" t="inlineStr">
        <is>
          <t>Föryngringsavverkning</t>
        </is>
      </c>
      <c r="D38" s="1" t="n">
        <v>46195</v>
      </c>
      <c r="E38" s="1" t="n">
        <v>46218</v>
      </c>
      <c r="F38" t="inlineStr">
        <is>
          <t>DALARNAS LÄN</t>
        </is>
      </c>
      <c r="G38" t="inlineStr">
        <is>
          <t>GAGNEF</t>
        </is>
      </c>
      <c r="I38" t="n">
        <v>3.8</v>
      </c>
      <c r="J38" t="n">
        <v>1</v>
      </c>
      <c r="K38" t="n">
        <v>0</v>
      </c>
      <c r="L38" t="n">
        <v>0</v>
      </c>
      <c r="M38" t="n">
        <v>0</v>
      </c>
      <c r="N38" t="n">
        <v>0</v>
      </c>
      <c r="O38" t="n">
        <v>0</v>
      </c>
      <c r="P38" t="n">
        <v>0</v>
      </c>
      <c r="Q38" t="n">
        <v>0</v>
      </c>
      <c r="R38" t="n">
        <v>0</v>
      </c>
      <c r="S38" t="n">
        <v>1</v>
      </c>
      <c r="T38" t="n">
        <v>1</v>
      </c>
      <c r="U38" s="2" t="inlineStr">
        <is>
          <t>Spillkråka</t>
        </is>
      </c>
      <c r="V38">
        <f>HYPERLINK("https://klasma.github.io/Logging_2026/artfynd/A 28191-2026 artfynd.xlsx", "A 28191-2026")</f>
        <v/>
      </c>
      <c r="W38">
        <f>HYPERLINK("https://klasma.github.io/Logging_2026/kartor/A 28191-2026 karta.png", "A 28191-2026")</f>
        <v/>
      </c>
      <c r="Y38">
        <f>HYPERLINK("https://klasma.github.io/Logging_2026/klagomål/A 28191-2026 FSC-klagomål.docx", "A 28191-2026")</f>
        <v/>
      </c>
      <c r="Z38">
        <f>HYPERLINK("https://klasma.github.io/Logging_2026/klagomålsmail/A 28191-2026 FSC-klagomål mail.docx", "A 28191-2026")</f>
        <v/>
      </c>
      <c r="AA38">
        <f>HYPERLINK("https://klasma.github.io/Logging_2026/tillsyn/A 28191-2026 tillsynsbegäran.docx", "A 28191-2026")</f>
        <v/>
      </c>
      <c r="AB38">
        <f>HYPERLINK("https://klasma.github.io/Logging_2026/tillsynsmail/A 28191-2026 tillsynsbegäran mail.docx", "A 28191-2026")</f>
        <v/>
      </c>
      <c r="AC38">
        <f>HYPERLINK("https://klasma.github.io/Logging_2026/fåglar/A 28191-2026 prioriterade fågelarter.docx", "A 28191-2026")</f>
        <v/>
      </c>
    </row>
    <row r="39" ht="15" customHeight="1">
      <c r="A39" t="inlineStr">
        <is>
          <t>A 28190-2026</t>
        </is>
      </c>
      <c r="B39" t="inlineStr">
        <is>
          <t>avverkningsanmälan</t>
        </is>
      </c>
      <c r="C39" t="inlineStr">
        <is>
          <t>Föryngringsavverkning</t>
        </is>
      </c>
      <c r="D39" s="1" t="n">
        <v>46195</v>
      </c>
      <c r="E39" s="1" t="n">
        <v>46218</v>
      </c>
      <c r="F39" t="inlineStr">
        <is>
          <t>DALARNAS LÄN</t>
        </is>
      </c>
      <c r="G39" t="inlineStr">
        <is>
          <t>GAGNEF</t>
        </is>
      </c>
      <c r="I39" t="n">
        <v>3.5</v>
      </c>
      <c r="J39" t="n">
        <v>1</v>
      </c>
      <c r="K39" t="n">
        <v>0</v>
      </c>
      <c r="L39" t="n">
        <v>0</v>
      </c>
      <c r="M39" t="n">
        <v>0</v>
      </c>
      <c r="N39" t="n">
        <v>0</v>
      </c>
      <c r="O39" t="n">
        <v>0</v>
      </c>
      <c r="P39" t="n">
        <v>0</v>
      </c>
      <c r="Q39" t="n">
        <v>0</v>
      </c>
      <c r="R39" t="n">
        <v>0</v>
      </c>
      <c r="S39" t="n">
        <v>1</v>
      </c>
      <c r="T39" t="n">
        <v>1</v>
      </c>
      <c r="U39" s="2" t="inlineStr">
        <is>
          <t>Spillkråka</t>
        </is>
      </c>
      <c r="V39">
        <f>HYPERLINK("https://klasma.github.io/Logging_2026/artfynd/A 28190-2026 artfynd.xlsx", "A 28190-2026")</f>
        <v/>
      </c>
      <c r="W39">
        <f>HYPERLINK("https://klasma.github.io/Logging_2026/kartor/A 28190-2026 karta.png", "A 28190-2026")</f>
        <v/>
      </c>
      <c r="Y39">
        <f>HYPERLINK("https://klasma.github.io/Logging_2026/klagomål/A 28190-2026 FSC-klagomål.docx", "A 28190-2026")</f>
        <v/>
      </c>
      <c r="Z39">
        <f>HYPERLINK("https://klasma.github.io/Logging_2026/klagomålsmail/A 28190-2026 FSC-klagomål mail.docx", "A 28190-2026")</f>
        <v/>
      </c>
      <c r="AA39">
        <f>HYPERLINK("https://klasma.github.io/Logging_2026/tillsyn/A 28190-2026 tillsynsbegäran.docx", "A 28190-2026")</f>
        <v/>
      </c>
      <c r="AB39">
        <f>HYPERLINK("https://klasma.github.io/Logging_2026/tillsynsmail/A 28190-2026 tillsynsbegäran mail.docx", "A 28190-2026")</f>
        <v/>
      </c>
      <c r="AC39">
        <f>HYPERLINK("https://klasma.github.io/Logging_2026/fåglar/A 28190-2026 prioriterade fågelarter.docx", "A 28190-2026")</f>
        <v/>
      </c>
    </row>
    <row r="40" ht="15" customHeight="1">
      <c r="A40" t="inlineStr">
        <is>
          <t>A 22137-2026</t>
        </is>
      </c>
      <c r="B40" t="inlineStr">
        <is>
          <t>avverkningsanmälan</t>
        </is>
      </c>
      <c r="C40" t="inlineStr">
        <is>
          <t>Föryngringsavverkning</t>
        </is>
      </c>
      <c r="D40" s="1" t="n">
        <v>46153</v>
      </c>
      <c r="E40" s="1" t="n">
        <v>46218</v>
      </c>
      <c r="F40" t="inlineStr">
        <is>
          <t>DALARNAS LÄN</t>
        </is>
      </c>
      <c r="G40" t="inlineStr">
        <is>
          <t>GAGNEF</t>
        </is>
      </c>
      <c r="I40" t="n">
        <v>1.1</v>
      </c>
      <c r="J40" t="n">
        <v>0</v>
      </c>
      <c r="K40" t="n">
        <v>0</v>
      </c>
      <c r="L40" t="n">
        <v>0</v>
      </c>
      <c r="M40" t="n">
        <v>1</v>
      </c>
      <c r="N40" t="n">
        <v>0</v>
      </c>
      <c r="O40" t="n">
        <v>0</v>
      </c>
      <c r="P40" t="n">
        <v>0</v>
      </c>
      <c r="Q40" t="n">
        <v>1</v>
      </c>
      <c r="R40" t="n">
        <v>1</v>
      </c>
      <c r="S40" t="n">
        <v>1</v>
      </c>
      <c r="T40" t="n">
        <v>2</v>
      </c>
      <c r="U40" s="2" t="inlineStr">
        <is>
          <t>Garnlav</t>
        </is>
      </c>
      <c r="V40">
        <f>HYPERLINK("https://klasma.github.io/Logging_2026/artfynd/A 22137-2026 artfynd.xlsx", "A 22137-2026")</f>
        <v/>
      </c>
      <c r="W40">
        <f>HYPERLINK("https://klasma.github.io/Logging_2026/kartor/A 22137-2026 karta.png", "A 22137-2026")</f>
        <v/>
      </c>
      <c r="Y40">
        <f>HYPERLINK("https://klasma.github.io/Logging_2026/klagomål/A 22137-2026 FSC-klagomål.docx", "A 22137-2026")</f>
        <v/>
      </c>
      <c r="Z40">
        <f>HYPERLINK("https://klasma.github.io/Logging_2026/klagomålsmail/A 22137-2026 FSC-klagomål mail.docx", "A 22137-2026")</f>
        <v/>
      </c>
      <c r="AA40">
        <f>HYPERLINK("https://klasma.github.io/Logging_2026/tillsyn/A 22137-2026 tillsynsbegäran.docx", "A 22137-2026")</f>
        <v/>
      </c>
      <c r="AB40">
        <f>HYPERLINK("https://klasma.github.io/Logging_2026/tillsynsmail/A 22137-2026 tillsynsbegäran mail.docx", "A 22137-2026")</f>
        <v/>
      </c>
    </row>
    <row r="41" ht="15" customHeight="1">
      <c r="A41" t="inlineStr">
        <is>
          <t>A 1432-2026</t>
        </is>
      </c>
      <c r="B41" t="inlineStr">
        <is>
          <t>avverkningsanmälan</t>
        </is>
      </c>
      <c r="C41" t="inlineStr">
        <is>
          <t>Föryngringsavverkning</t>
        </is>
      </c>
      <c r="D41" s="1" t="n">
        <v>46032</v>
      </c>
      <c r="E41" s="1" t="n">
        <v>46218</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s="2" t="inlineStr">
        <is>
          <t>Rosenticka</t>
        </is>
      </c>
      <c r="V41">
        <f>HYPERLINK("https://klasma.github.io/Logging_2026/artfynd/A 1432-2026 artfynd.xlsx", "A 1432-2026")</f>
        <v/>
      </c>
      <c r="W41">
        <f>HYPERLINK("https://klasma.github.io/Logging_2026/kartor/A 1432-2026 karta.png", "A 1432-2026")</f>
        <v/>
      </c>
      <c r="Y41">
        <f>HYPERLINK("https://klasma.github.io/Logging_2026/klagomål/A 1432-2026 FSC-klagomål.docx", "A 1432-2026")</f>
        <v/>
      </c>
      <c r="Z41">
        <f>HYPERLINK("https://klasma.github.io/Logging_2026/klagomålsmail/A 1432-2026 FSC-klagomål mail.docx", "A 1432-2026")</f>
        <v/>
      </c>
      <c r="AA41">
        <f>HYPERLINK("https://klasma.github.io/Logging_2026/tillsyn/A 1432-2026 tillsynsbegäran.docx", "A 1432-2026")</f>
        <v/>
      </c>
      <c r="AB41">
        <f>HYPERLINK("https://klasma.github.io/Logging_2026/tillsynsmail/A 1432-2026 tillsynsbegäran mail.docx", "A 1432-2026")</f>
        <v/>
      </c>
    </row>
    <row r="42" ht="15" customHeight="1">
      <c r="A42" t="inlineStr">
        <is>
          <t>A 48805-2024</t>
        </is>
      </c>
      <c r="B42" t="inlineStr">
        <is>
          <t>avverkningsanmälan</t>
        </is>
      </c>
      <c r="C42" t="inlineStr">
        <is>
          <t>Föryngringsavverkning</t>
        </is>
      </c>
      <c r="D42" s="1" t="n">
        <v>45593</v>
      </c>
      <c r="E42" s="1" t="n">
        <v>46218</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s="2" t="inlineStr">
        <is>
          <t>Nordfladdermus</t>
        </is>
      </c>
      <c r="V42">
        <f>HYPERLINK("https://klasma.github.io/Logging_2026/artfynd/A 48805-2024 artfynd.xlsx", "A 48805-2024")</f>
        <v/>
      </c>
      <c r="W42">
        <f>HYPERLINK("https://klasma.github.io/Logging_2026/kartor/A 48805-2024 karta.png", "A 48805-2024")</f>
        <v/>
      </c>
      <c r="Y42">
        <f>HYPERLINK("https://klasma.github.io/Logging_2026/klagomål/A 48805-2024 FSC-klagomål.docx", "A 48805-2024")</f>
        <v/>
      </c>
      <c r="Z42">
        <f>HYPERLINK("https://klasma.github.io/Logging_2026/klagomålsmail/A 48805-2024 FSC-klagomål mail.docx", "A 48805-2024")</f>
        <v/>
      </c>
      <c r="AA42">
        <f>HYPERLINK("https://klasma.github.io/Logging_2026/tillsyn/A 48805-2024 tillsynsbegäran.docx", "A 48805-2024")</f>
        <v/>
      </c>
      <c r="AB42">
        <f>HYPERLINK("https://klasma.github.io/Logging_2026/tillsynsmail/A 48805-2024 tillsynsbegäran mail.docx", "A 48805-2024")</f>
        <v/>
      </c>
    </row>
    <row r="43" ht="15" customHeight="1">
      <c r="A43" t="inlineStr">
        <is>
          <t>A 11285-2025</t>
        </is>
      </c>
      <c r="B43" t="inlineStr">
        <is>
          <t>avverkningsanmälan</t>
        </is>
      </c>
      <c r="C43" t="inlineStr">
        <is>
          <t>Föryngringsavverkning</t>
        </is>
      </c>
      <c r="D43" s="1" t="n">
        <v>45726</v>
      </c>
      <c r="E43" s="1" t="n">
        <v>46218</v>
      </c>
      <c r="F43" t="inlineStr">
        <is>
          <t>DALARNAS LÄN</t>
        </is>
      </c>
      <c r="G43" t="inlineStr">
        <is>
          <t>GAGNEF</t>
        </is>
      </c>
      <c r="I43" t="n">
        <v>12.2</v>
      </c>
      <c r="J43" t="n">
        <v>1</v>
      </c>
      <c r="K43" t="n">
        <v>0</v>
      </c>
      <c r="L43" t="n">
        <v>0</v>
      </c>
      <c r="M43" t="n">
        <v>0</v>
      </c>
      <c r="N43" t="n">
        <v>0</v>
      </c>
      <c r="O43" t="n">
        <v>0</v>
      </c>
      <c r="P43" t="n">
        <v>0</v>
      </c>
      <c r="Q43" t="n">
        <v>0</v>
      </c>
      <c r="R43" t="n">
        <v>0</v>
      </c>
      <c r="S43" t="n">
        <v>1</v>
      </c>
      <c r="T43" t="n">
        <v>1</v>
      </c>
      <c r="U43" s="2" t="inlineStr">
        <is>
          <t>Fläcknycklar</t>
        </is>
      </c>
      <c r="V43">
        <f>HYPERLINK("https://klasma.github.io/Logging_2026/artfynd/A 11285-2025 artfynd.xlsx", "A 11285-2025")</f>
        <v/>
      </c>
      <c r="W43">
        <f>HYPERLINK("https://klasma.github.io/Logging_2026/kartor/A 11285-2025 karta.png", "A 11285-2025")</f>
        <v/>
      </c>
      <c r="Y43">
        <f>HYPERLINK("https://klasma.github.io/Logging_2026/klagomål/A 11285-2025 FSC-klagomål.docx", "A 11285-2025")</f>
        <v/>
      </c>
      <c r="Z43">
        <f>HYPERLINK("https://klasma.github.io/Logging_2026/klagomålsmail/A 11285-2025 FSC-klagomål mail.docx", "A 11285-2025")</f>
        <v/>
      </c>
      <c r="AA43">
        <f>HYPERLINK("https://klasma.github.io/Logging_2026/tillsyn/A 11285-2025 tillsynsbegäran.docx", "A 11285-2025")</f>
        <v/>
      </c>
      <c r="AB43">
        <f>HYPERLINK("https://klasma.github.io/Logging_2026/tillsynsmail/A 11285-2025 tillsynsbegäran mail.docx", "A 11285-2025")</f>
        <v/>
      </c>
    </row>
    <row r="44" ht="15" customHeight="1">
      <c r="A44" t="inlineStr">
        <is>
          <t>A 2943-2026</t>
        </is>
      </c>
      <c r="B44" t="inlineStr">
        <is>
          <t>avverkningsanmälan</t>
        </is>
      </c>
      <c r="C44" t="inlineStr">
        <is>
          <t>Föryngringsavverkning</t>
        </is>
      </c>
      <c r="D44" s="1" t="n">
        <v>46038</v>
      </c>
      <c r="E44" s="1" t="n">
        <v>46218</v>
      </c>
      <c r="F44" t="inlineStr">
        <is>
          <t>DALARNAS LÄN</t>
        </is>
      </c>
      <c r="G44" t="inlineStr">
        <is>
          <t>GAGNEF</t>
        </is>
      </c>
      <c r="I44" t="n">
        <v>7.2</v>
      </c>
      <c r="J44" t="n">
        <v>0</v>
      </c>
      <c r="K44" t="n">
        <v>0</v>
      </c>
      <c r="L44" t="n">
        <v>1</v>
      </c>
      <c r="M44" t="n">
        <v>0</v>
      </c>
      <c r="N44" t="n">
        <v>0</v>
      </c>
      <c r="O44" t="n">
        <v>0</v>
      </c>
      <c r="P44" t="n">
        <v>0</v>
      </c>
      <c r="Q44" t="n">
        <v>1</v>
      </c>
      <c r="R44" t="n">
        <v>0</v>
      </c>
      <c r="S44" t="n">
        <v>1</v>
      </c>
      <c r="T44" t="n">
        <v>1</v>
      </c>
      <c r="U44" s="2" t="inlineStr">
        <is>
          <t>Tallticka</t>
        </is>
      </c>
      <c r="V44">
        <f>HYPERLINK("https://klasma.github.io/Logging_2026/artfynd/A 2943-2026 artfynd.xlsx", "A 2943-2026")</f>
        <v/>
      </c>
      <c r="W44">
        <f>HYPERLINK("https://klasma.github.io/Logging_2026/kartor/A 2943-2026 karta.png", "A 2943-2026")</f>
        <v/>
      </c>
      <c r="Y44">
        <f>HYPERLINK("https://klasma.github.io/Logging_2026/klagomål/A 2943-2026 FSC-klagomål.docx", "A 2943-2026")</f>
        <v/>
      </c>
      <c r="Z44">
        <f>HYPERLINK("https://klasma.github.io/Logging_2026/klagomålsmail/A 2943-2026 FSC-klagomål mail.docx", "A 2943-2026")</f>
        <v/>
      </c>
      <c r="AA44">
        <f>HYPERLINK("https://klasma.github.io/Logging_2026/tillsyn/A 2943-2026 tillsynsbegäran.docx", "A 2943-2026")</f>
        <v/>
      </c>
      <c r="AB44">
        <f>HYPERLINK("https://klasma.github.io/Logging_2026/tillsynsmail/A 2943-2026 tillsynsbegäran mail.docx", "A 2943-2026")</f>
        <v/>
      </c>
    </row>
    <row r="45" ht="15" customHeight="1">
      <c r="A45" t="inlineStr">
        <is>
          <t>A 4238-2026</t>
        </is>
      </c>
      <c r="B45" t="inlineStr">
        <is>
          <t>avverkningsanmälan</t>
        </is>
      </c>
      <c r="C45" t="inlineStr">
        <is>
          <t>Föryngringsavverkning</t>
        </is>
      </c>
      <c r="D45" s="1" t="n">
        <v>46044</v>
      </c>
      <c r="E45" s="1" t="n">
        <v>46218</v>
      </c>
      <c r="F45" t="inlineStr">
        <is>
          <t>DALARNAS LÄN</t>
        </is>
      </c>
      <c r="G45" t="inlineStr">
        <is>
          <t>GAGNEF</t>
        </is>
      </c>
      <c r="I45" t="n">
        <v>1.5</v>
      </c>
      <c r="J45" t="n">
        <v>1</v>
      </c>
      <c r="K45" t="n">
        <v>0</v>
      </c>
      <c r="L45" t="n">
        <v>1</v>
      </c>
      <c r="M45" t="n">
        <v>0</v>
      </c>
      <c r="N45" t="n">
        <v>0</v>
      </c>
      <c r="O45" t="n">
        <v>0</v>
      </c>
      <c r="P45" t="n">
        <v>0</v>
      </c>
      <c r="Q45" t="n">
        <v>1</v>
      </c>
      <c r="R45" t="n">
        <v>0</v>
      </c>
      <c r="S45" t="n">
        <v>1</v>
      </c>
      <c r="T45" t="n">
        <v>1</v>
      </c>
      <c r="U45" s="2" t="inlineStr">
        <is>
          <t>Tretåig hackspett</t>
        </is>
      </c>
      <c r="V45">
        <f>HYPERLINK("https://klasma.github.io/Logging_2026/artfynd/A 4238-2026 artfynd.xlsx", "A 4238-2026")</f>
        <v/>
      </c>
      <c r="W45">
        <f>HYPERLINK("https://klasma.github.io/Logging_2026/kartor/A 4238-2026 karta.png", "A 4238-2026")</f>
        <v/>
      </c>
      <c r="Y45">
        <f>HYPERLINK("https://klasma.github.io/Logging_2026/klagomål/A 4238-2026 FSC-klagomål.docx", "A 4238-2026")</f>
        <v/>
      </c>
      <c r="Z45">
        <f>HYPERLINK("https://klasma.github.io/Logging_2026/klagomålsmail/A 4238-2026 FSC-klagomål mail.docx", "A 4238-2026")</f>
        <v/>
      </c>
      <c r="AA45">
        <f>HYPERLINK("https://klasma.github.io/Logging_2026/tillsyn/A 4238-2026 tillsynsbegäran.docx", "A 4238-2026")</f>
        <v/>
      </c>
      <c r="AB45">
        <f>HYPERLINK("https://klasma.github.io/Logging_2026/tillsynsmail/A 4238-2026 tillsynsbegäran mail.docx", "A 4238-2026")</f>
        <v/>
      </c>
      <c r="AC45">
        <f>HYPERLINK("https://klasma.github.io/Logging_2026/fåglar/A 4238-2026 prioriterade fågelarter.docx", "A 4238-2026")</f>
        <v/>
      </c>
    </row>
    <row r="46" ht="15" customHeight="1">
      <c r="A46" t="inlineStr">
        <is>
          <t>A 17219-2026</t>
        </is>
      </c>
      <c r="B46" t="inlineStr">
        <is>
          <t>avverkningsanmälan</t>
        </is>
      </c>
      <c r="C46" t="inlineStr">
        <is>
          <t>Föryngringsavverkning</t>
        </is>
      </c>
      <c r="D46" s="1" t="n">
        <v>46119</v>
      </c>
      <c r="E46" s="1" t="n">
        <v>46218</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s="2" t="inlineStr">
        <is>
          <t>Vanlig groda</t>
        </is>
      </c>
      <c r="V46">
        <f>HYPERLINK("https://klasma.github.io/Logging_2026/artfynd/A 17219-2026 artfynd.xlsx", "A 17219-2026")</f>
        <v/>
      </c>
      <c r="W46">
        <f>HYPERLINK("https://klasma.github.io/Logging_2026/kartor/A 17219-2026 karta.png", "A 17219-2026")</f>
        <v/>
      </c>
      <c r="Y46">
        <f>HYPERLINK("https://klasma.github.io/Logging_2026/klagomål/A 17219-2026 FSC-klagomål.docx", "A 17219-2026")</f>
        <v/>
      </c>
      <c r="Z46">
        <f>HYPERLINK("https://klasma.github.io/Logging_2026/klagomålsmail/A 17219-2026 FSC-klagomål mail.docx", "A 17219-2026")</f>
        <v/>
      </c>
      <c r="AA46">
        <f>HYPERLINK("https://klasma.github.io/Logging_2026/tillsyn/A 17219-2026 tillsynsbegäran.docx", "A 17219-2026")</f>
        <v/>
      </c>
      <c r="AB46">
        <f>HYPERLINK("https://klasma.github.io/Logging_2026/tillsynsmail/A 17219-2026 tillsynsbegäran mail.docx", "A 17219-2026")</f>
        <v/>
      </c>
    </row>
    <row r="47" ht="15" customHeight="1">
      <c r="A47" t="inlineStr">
        <is>
          <t>A 15943-2026</t>
        </is>
      </c>
      <c r="B47" t="inlineStr">
        <is>
          <t>avverkningsanmälan</t>
        </is>
      </c>
      <c r="C47" t="inlineStr">
        <is>
          <t>Föryngringsavverkning</t>
        </is>
      </c>
      <c r="D47" s="1" t="n">
        <v>46107</v>
      </c>
      <c r="E47" s="1" t="n">
        <v>46218</v>
      </c>
      <c r="F47" t="inlineStr">
        <is>
          <t>DALARNAS LÄN</t>
        </is>
      </c>
      <c r="G47" t="inlineStr">
        <is>
          <t>GAGNEF</t>
        </is>
      </c>
      <c r="I47" t="n">
        <v>1.1</v>
      </c>
      <c r="J47" t="n">
        <v>1</v>
      </c>
      <c r="K47" t="n">
        <v>0</v>
      </c>
      <c r="L47" t="n">
        <v>0</v>
      </c>
      <c r="M47" t="n">
        <v>0</v>
      </c>
      <c r="N47" t="n">
        <v>0</v>
      </c>
      <c r="O47" t="n">
        <v>0</v>
      </c>
      <c r="P47" t="n">
        <v>0</v>
      </c>
      <c r="Q47" t="n">
        <v>0</v>
      </c>
      <c r="R47" t="n">
        <v>0</v>
      </c>
      <c r="S47" t="n">
        <v>1</v>
      </c>
      <c r="T47" t="n">
        <v>1</v>
      </c>
      <c r="U47" s="2" t="inlineStr">
        <is>
          <t>Havsörn</t>
        </is>
      </c>
      <c r="V47">
        <f>HYPERLINK("https://klasma.github.io/Logging_2026/artfynd/A 15943-2026 artfynd.xlsx", "A 15943-2026")</f>
        <v/>
      </c>
      <c r="W47">
        <f>HYPERLINK("https://klasma.github.io/Logging_2026/kartor/A 15943-2026 karta.png", "A 15943-2026")</f>
        <v/>
      </c>
      <c r="Y47">
        <f>HYPERLINK("https://klasma.github.io/Logging_2026/klagomål/A 15943-2026 FSC-klagomål.docx", "A 15943-2026")</f>
        <v/>
      </c>
      <c r="Z47">
        <f>HYPERLINK("https://klasma.github.io/Logging_2026/klagomålsmail/A 15943-2026 FSC-klagomål mail.docx", "A 15943-2026")</f>
        <v/>
      </c>
      <c r="AA47">
        <f>HYPERLINK("https://klasma.github.io/Logging_2026/tillsyn/A 15943-2026 tillsynsbegäran.docx", "A 15943-2026")</f>
        <v/>
      </c>
      <c r="AB47">
        <f>HYPERLINK("https://klasma.github.io/Logging_2026/tillsynsmail/A 15943-2026 tillsynsbegäran mail.docx", "A 15943-2026")</f>
        <v/>
      </c>
      <c r="AC47">
        <f>HYPERLINK("https://klasma.github.io/Logging_2026/fåglar/A 15943-2026 prioriterade fågelarter.docx", "A 15943-2026")</f>
        <v/>
      </c>
    </row>
    <row r="48" ht="15" customHeight="1">
      <c r="A48" t="inlineStr">
        <is>
          <t>A 17730-2026</t>
        </is>
      </c>
      <c r="B48" t="inlineStr">
        <is>
          <t>avverkningsanmälan</t>
        </is>
      </c>
      <c r="C48" t="inlineStr">
        <is>
          <t>Föryngringsavverkning</t>
        </is>
      </c>
      <c r="D48" s="1" t="n">
        <v>46121</v>
      </c>
      <c r="E48" s="1" t="n">
        <v>46218</v>
      </c>
      <c r="F48" t="inlineStr">
        <is>
          <t>DALARNAS LÄN</t>
        </is>
      </c>
      <c r="G48" t="inlineStr">
        <is>
          <t>GAGNEF</t>
        </is>
      </c>
      <c r="I48" t="n">
        <v>1</v>
      </c>
      <c r="J48" t="n">
        <v>1</v>
      </c>
      <c r="K48" t="n">
        <v>0</v>
      </c>
      <c r="L48" t="n">
        <v>0</v>
      </c>
      <c r="M48" t="n">
        <v>0</v>
      </c>
      <c r="N48" t="n">
        <v>0</v>
      </c>
      <c r="O48" t="n">
        <v>0</v>
      </c>
      <c r="P48" t="n">
        <v>0</v>
      </c>
      <c r="Q48" t="n">
        <v>0</v>
      </c>
      <c r="R48" t="n">
        <v>0</v>
      </c>
      <c r="S48" t="n">
        <v>1</v>
      </c>
      <c r="T48" t="n">
        <v>1</v>
      </c>
      <c r="U48" s="2" t="inlineStr">
        <is>
          <t>Revlummer</t>
        </is>
      </c>
      <c r="V48">
        <f>HYPERLINK("https://klasma.github.io/Logging_2026/artfynd/A 17730-2026 artfynd.xlsx", "A 17730-2026")</f>
        <v/>
      </c>
      <c r="W48">
        <f>HYPERLINK("https://klasma.github.io/Logging_2026/kartor/A 17730-2026 karta.png", "A 17730-2026")</f>
        <v/>
      </c>
      <c r="Y48">
        <f>HYPERLINK("https://klasma.github.io/Logging_2026/klagomål/A 17730-2026 FSC-klagomål.docx", "A 17730-2026")</f>
        <v/>
      </c>
      <c r="Z48">
        <f>HYPERLINK("https://klasma.github.io/Logging_2026/klagomålsmail/A 17730-2026 FSC-klagomål mail.docx", "A 17730-2026")</f>
        <v/>
      </c>
      <c r="AA48">
        <f>HYPERLINK("https://klasma.github.io/Logging_2026/tillsyn/A 17730-2026 tillsynsbegäran.docx", "A 17730-2026")</f>
        <v/>
      </c>
      <c r="AB48">
        <f>HYPERLINK("https://klasma.github.io/Logging_2026/tillsynsmail/A 17730-2026 tillsynsbegäran mail.docx", "A 17730-2026")</f>
        <v/>
      </c>
    </row>
    <row r="49" ht="15" customHeight="1">
      <c r="A49" t="inlineStr">
        <is>
          <t>S 4982-2021</t>
        </is>
      </c>
      <c r="B49" t="inlineStr">
        <is>
          <t>samrådsanmälan</t>
        </is>
      </c>
      <c r="C49" t="inlineStr">
        <is>
          <t>Askåterföring</t>
        </is>
      </c>
      <c r="D49" s="1" t="n">
        <v>44419</v>
      </c>
      <c r="E49" s="1" t="n">
        <v>46218</v>
      </c>
      <c r="F49" t="inlineStr">
        <is>
          <t>DALARNAS LÄN</t>
        </is>
      </c>
      <c r="G49" t="inlineStr">
        <is>
          <t>GAGNEF</t>
        </is>
      </c>
      <c r="I49" t="n">
        <v>29.1</v>
      </c>
      <c r="J49" t="n">
        <v>1</v>
      </c>
      <c r="K49" t="n">
        <v>0</v>
      </c>
      <c r="L49" t="n">
        <v>0</v>
      </c>
      <c r="M49" t="n">
        <v>0</v>
      </c>
      <c r="N49" t="n">
        <v>0</v>
      </c>
      <c r="O49" t="n">
        <v>0</v>
      </c>
      <c r="P49" t="n">
        <v>0</v>
      </c>
      <c r="Q49" t="n">
        <v>0</v>
      </c>
      <c r="R49" t="n">
        <v>0</v>
      </c>
      <c r="S49" t="n">
        <v>1</v>
      </c>
      <c r="T49" t="n">
        <v>1</v>
      </c>
      <c r="U49" s="2" t="inlineStr">
        <is>
          <t>Fläcknycklar</t>
        </is>
      </c>
      <c r="V49">
        <f>HYPERLINK("https://klasma.github.io/Logging_2026/artfynd/S 4982-2021 artfynd.xlsx", "S 4982-2021")</f>
        <v/>
      </c>
      <c r="W49">
        <f>HYPERLINK("https://klasma.github.io/Logging_2026/kartor/S 4982-2021 karta.png", "S 4982-2021")</f>
        <v/>
      </c>
      <c r="Y49">
        <f>HYPERLINK("https://klasma.github.io/Logging_2026/klagomål/S 4982-2021 FSC-klagomål.docx", "S 4982-2021")</f>
        <v/>
      </c>
      <c r="Z49">
        <f>HYPERLINK("https://klasma.github.io/Logging_2026/klagomålsmail/S 4982-2021 FSC-klagomål mail.docx", "S 4982-2021")</f>
        <v/>
      </c>
      <c r="AA49">
        <f>HYPERLINK("https://klasma.github.io/Logging_2026/tillsyn/S 4982-2021 tillsynsbegäran.docx", "S 4982-2021")</f>
        <v/>
      </c>
      <c r="AB49">
        <f>HYPERLINK("https://klasma.github.io/Logging_2026/tillsynsmail/S 4982-2021 tillsynsbegäran mail.docx", "S 4982-2021")</f>
        <v/>
      </c>
    </row>
    <row r="50" ht="15" customHeight="1">
      <c r="A50" t="inlineStr">
        <is>
          <t>S 2438-2022</t>
        </is>
      </c>
      <c r="B50" t="inlineStr">
        <is>
          <t>samrådsanmälan</t>
        </is>
      </c>
      <c r="C50" t="inlineStr">
        <is>
          <t>Annan skogsbruksåtgärd</t>
        </is>
      </c>
      <c r="D50" s="1" t="n">
        <v>44691</v>
      </c>
      <c r="E50" s="1" t="n">
        <v>46218</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s="2" t="inlineStr">
        <is>
          <t>Rödvingetrast</t>
        </is>
      </c>
      <c r="V50">
        <f>HYPERLINK("https://klasma.github.io/Logging_2026/artfynd/S 2438-2022 artfynd.xlsx", "S 2438-2022")</f>
        <v/>
      </c>
      <c r="W50">
        <f>HYPERLINK("https://klasma.github.io/Logging_2026/kartor/S 2438-2022 karta.png", "S 2438-2022")</f>
        <v/>
      </c>
      <c r="Y50">
        <f>HYPERLINK("https://klasma.github.io/Logging_2026/klagomål/S 2438-2022 FSC-klagomål.docx", "S 2438-2022")</f>
        <v/>
      </c>
      <c r="Z50">
        <f>HYPERLINK("https://klasma.github.io/Logging_2026/klagomålsmail/S 2438-2022 FSC-klagomål mail.docx", "S 2438-2022")</f>
        <v/>
      </c>
      <c r="AA50">
        <f>HYPERLINK("https://klasma.github.io/Logging_2026/tillsyn/S 2438-2022 tillsynsbegäran.docx", "S 2438-2022")</f>
        <v/>
      </c>
      <c r="AB50">
        <f>HYPERLINK("https://klasma.github.io/Logging_2026/tillsynsmail/S 2438-2022 tillsynsbegäran mail.docx", "S 2438-2022")</f>
        <v/>
      </c>
      <c r="AC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46218</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s="2" t="inlineStr"/>
    </row>
    <row r="52" ht="15" customHeight="1">
      <c r="A52" t="inlineStr">
        <is>
          <t>A 46567-2021</t>
        </is>
      </c>
      <c r="B52" t="inlineStr">
        <is>
          <t>avverkningsanmälan</t>
        </is>
      </c>
      <c r="C52" t="inlineStr">
        <is>
          <t>Föryngringsavverkning</t>
        </is>
      </c>
      <c r="D52" s="1" t="n">
        <v>44445</v>
      </c>
      <c r="E52" s="1" t="n">
        <v>46218</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s="2" t="inlineStr"/>
    </row>
    <row r="53" ht="15" customHeight="1">
      <c r="A53" t="inlineStr">
        <is>
          <t>A 54150-2022</t>
        </is>
      </c>
      <c r="B53" t="inlineStr">
        <is>
          <t>avverkningsanmälan</t>
        </is>
      </c>
      <c r="C53" t="inlineStr">
        <is>
          <t>Föryngringsavverkning</t>
        </is>
      </c>
      <c r="D53" s="1" t="n">
        <v>44881</v>
      </c>
      <c r="E53" s="1" t="n">
        <v>46218</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s="2" t="inlineStr"/>
    </row>
    <row r="54" ht="15" customHeight="1">
      <c r="A54" t="inlineStr">
        <is>
          <t>A 64503-2021</t>
        </is>
      </c>
      <c r="B54" t="inlineStr">
        <is>
          <t>avverkningsanmälan</t>
        </is>
      </c>
      <c r="C54" t="inlineStr">
        <is>
          <t>Avverkning för att bevara och utveckla /försöksver</t>
        </is>
      </c>
      <c r="D54" s="1" t="n">
        <v>44511</v>
      </c>
      <c r="E54" s="1" t="n">
        <v>46218</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s="2" t="inlineStr"/>
    </row>
    <row r="55" ht="15" customHeight="1">
      <c r="A55" t="inlineStr">
        <is>
          <t>A 16183-2022</t>
        </is>
      </c>
      <c r="B55" t="inlineStr">
        <is>
          <t>avverkningsanmälan</t>
        </is>
      </c>
      <c r="C55" t="inlineStr">
        <is>
          <t>Föryngringsavverkning</t>
        </is>
      </c>
      <c r="D55" s="1" t="n">
        <v>44668</v>
      </c>
      <c r="E55" s="1" t="n">
        <v>46218</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s="2" t="inlineStr"/>
    </row>
    <row r="56" ht="15" customHeight="1">
      <c r="A56" t="inlineStr">
        <is>
          <t>A 72978-2021</t>
        </is>
      </c>
      <c r="B56" t="inlineStr">
        <is>
          <t>avverkningsanmälan</t>
        </is>
      </c>
      <c r="C56" t="inlineStr">
        <is>
          <t>Föryngringsavverkning</t>
        </is>
      </c>
      <c r="D56" s="1" t="n">
        <v>44549</v>
      </c>
      <c r="E56" s="1" t="n">
        <v>46218</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s="2" t="inlineStr"/>
    </row>
    <row r="57" ht="15" customHeight="1">
      <c r="A57" t="inlineStr">
        <is>
          <t>A 50893-2022</t>
        </is>
      </c>
      <c r="B57" t="inlineStr">
        <is>
          <t>avverkningsanmälan</t>
        </is>
      </c>
      <c r="C57" t="inlineStr">
        <is>
          <t>Föryngringsavverkning</t>
        </is>
      </c>
      <c r="D57" s="1" t="n">
        <v>44867</v>
      </c>
      <c r="E57" s="1" t="n">
        <v>46218</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s="2" t="inlineStr"/>
    </row>
    <row r="58" ht="15" customHeight="1">
      <c r="A58" t="inlineStr">
        <is>
          <t>A 22375-2022</t>
        </is>
      </c>
      <c r="B58" t="inlineStr">
        <is>
          <t>avverkningsanmälan</t>
        </is>
      </c>
      <c r="C58" t="inlineStr">
        <is>
          <t>Föryngringsavverkning</t>
        </is>
      </c>
      <c r="D58" s="1" t="n">
        <v>44713</v>
      </c>
      <c r="E58" s="1" t="n">
        <v>46218</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s="2" t="inlineStr"/>
    </row>
    <row r="59" ht="15" customHeight="1">
      <c r="A59" t="inlineStr">
        <is>
          <t>A 37246-2021</t>
        </is>
      </c>
      <c r="B59" t="inlineStr">
        <is>
          <t>avverkningsanmälan</t>
        </is>
      </c>
      <c r="C59" t="inlineStr">
        <is>
          <t>Föryngringsavverkning</t>
        </is>
      </c>
      <c r="D59" s="1" t="n">
        <v>44396</v>
      </c>
      <c r="E59" s="1" t="n">
        <v>46218</v>
      </c>
      <c r="F59" t="inlineStr">
        <is>
          <t>DALARNAS LÄN</t>
        </is>
      </c>
      <c r="G59" t="inlineStr">
        <is>
          <t>GAGNEF</t>
        </is>
      </c>
      <c r="I59" t="n">
        <v>1.1</v>
      </c>
      <c r="J59" t="n">
        <v>0</v>
      </c>
      <c r="K59" t="n">
        <v>0</v>
      </c>
      <c r="L59" t="n">
        <v>0</v>
      </c>
      <c r="M59" t="n">
        <v>0</v>
      </c>
      <c r="N59" t="n">
        <v>0</v>
      </c>
      <c r="O59" t="n">
        <v>0</v>
      </c>
      <c r="P59" t="n">
        <v>0</v>
      </c>
      <c r="Q59" t="n">
        <v>0</v>
      </c>
      <c r="R59" t="n">
        <v>0</v>
      </c>
      <c r="S59" t="n">
        <v>0</v>
      </c>
      <c r="T59" t="n">
        <v>0</v>
      </c>
      <c r="U59" s="2" t="inlineStr"/>
    </row>
    <row r="60" ht="15" customHeight="1">
      <c r="A60" t="inlineStr">
        <is>
          <t>A 45029-2022</t>
        </is>
      </c>
      <c r="B60" t="inlineStr">
        <is>
          <t>avverkningsanmälan</t>
        </is>
      </c>
      <c r="C60" t="inlineStr">
        <is>
          <t>Föryngringsavverkning</t>
        </is>
      </c>
      <c r="D60" s="1" t="n">
        <v>44841</v>
      </c>
      <c r="E60" s="1" t="n">
        <v>46218</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s="2" t="inlineStr"/>
    </row>
    <row r="61" ht="15" customHeight="1">
      <c r="A61" t="inlineStr">
        <is>
          <t>A 45034-2022</t>
        </is>
      </c>
      <c r="B61" t="inlineStr">
        <is>
          <t>avverkningsanmälan</t>
        </is>
      </c>
      <c r="C61" t="inlineStr">
        <is>
          <t>Föryngringsavverkning</t>
        </is>
      </c>
      <c r="D61" s="1" t="n">
        <v>44841</v>
      </c>
      <c r="E61" s="1" t="n">
        <v>46218</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s="2" t="inlineStr"/>
    </row>
    <row r="62" ht="15" customHeight="1">
      <c r="A62" t="inlineStr">
        <is>
          <t>A 55869-2021</t>
        </is>
      </c>
      <c r="B62" t="inlineStr">
        <is>
          <t>avverkningsanmälan</t>
        </is>
      </c>
      <c r="C62" t="inlineStr">
        <is>
          <t>Avverkning för annat ändamål</t>
        </is>
      </c>
      <c r="D62" s="1" t="n">
        <v>44476</v>
      </c>
      <c r="E62" s="1" t="n">
        <v>46218</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s="2" t="inlineStr"/>
    </row>
    <row r="63" ht="15" customHeight="1">
      <c r="A63" t="inlineStr">
        <is>
          <t>A 32028-2022</t>
        </is>
      </c>
      <c r="B63" t="inlineStr">
        <is>
          <t>avverkningsanmälan</t>
        </is>
      </c>
      <c r="C63" t="inlineStr">
        <is>
          <t>Avverkning för annat ändamål</t>
        </is>
      </c>
      <c r="D63" s="1" t="n">
        <v>44778</v>
      </c>
      <c r="E63" s="1" t="n">
        <v>46218</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s="2" t="inlineStr"/>
    </row>
    <row r="64" ht="15" customHeight="1">
      <c r="A64" t="inlineStr">
        <is>
          <t>A 55398-2022</t>
        </is>
      </c>
      <c r="B64" t="inlineStr">
        <is>
          <t>avverkningsanmälan</t>
        </is>
      </c>
      <c r="C64" t="inlineStr">
        <is>
          <t>Föryngringsavverkning</t>
        </is>
      </c>
      <c r="D64" s="1" t="n">
        <v>44887</v>
      </c>
      <c r="E64" s="1" t="n">
        <v>46218</v>
      </c>
      <c r="F64" t="inlineStr">
        <is>
          <t>DALARNAS LÄN</t>
        </is>
      </c>
      <c r="G64" t="inlineStr">
        <is>
          <t>GAGNEF</t>
        </is>
      </c>
      <c r="I64" t="n">
        <v>0.2</v>
      </c>
      <c r="J64" t="n">
        <v>0</v>
      </c>
      <c r="K64" t="n">
        <v>0</v>
      </c>
      <c r="L64" t="n">
        <v>0</v>
      </c>
      <c r="M64" t="n">
        <v>0</v>
      </c>
      <c r="N64" t="n">
        <v>0</v>
      </c>
      <c r="O64" t="n">
        <v>0</v>
      </c>
      <c r="P64" t="n">
        <v>0</v>
      </c>
      <c r="Q64" t="n">
        <v>0</v>
      </c>
      <c r="R64" t="n">
        <v>0</v>
      </c>
      <c r="S64" t="n">
        <v>0</v>
      </c>
      <c r="T64" t="n">
        <v>0</v>
      </c>
      <c r="U64" s="2" t="inlineStr"/>
    </row>
    <row r="65" ht="15" customHeight="1">
      <c r="A65" t="inlineStr">
        <is>
          <t>A 20221-2022</t>
        </is>
      </c>
      <c r="B65" t="inlineStr">
        <is>
          <t>avverkningsanmälan</t>
        </is>
      </c>
      <c r="C65" t="inlineStr">
        <is>
          <t>Föryngringsavverkning</t>
        </is>
      </c>
      <c r="D65" s="1" t="n">
        <v>44698</v>
      </c>
      <c r="E65" s="1" t="n">
        <v>46218</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s="2" t="inlineStr"/>
    </row>
    <row r="66" ht="15" customHeight="1">
      <c r="A66" t="inlineStr">
        <is>
          <t>A 20213-2022</t>
        </is>
      </c>
      <c r="B66" t="inlineStr">
        <is>
          <t>avverkningsanmälan</t>
        </is>
      </c>
      <c r="C66" t="inlineStr">
        <is>
          <t>Föryngringsavverkning</t>
        </is>
      </c>
      <c r="D66" s="1" t="n">
        <v>44698</v>
      </c>
      <c r="E66" s="1" t="n">
        <v>46218</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s="2" t="inlineStr"/>
    </row>
    <row r="67" ht="15" customHeight="1">
      <c r="A67" t="inlineStr">
        <is>
          <t>A 37245-2021</t>
        </is>
      </c>
      <c r="B67" t="inlineStr">
        <is>
          <t>avverkningsanmälan</t>
        </is>
      </c>
      <c r="C67" t="inlineStr">
        <is>
          <t>Föryngringsavverkning</t>
        </is>
      </c>
      <c r="D67" s="1" t="n">
        <v>44396</v>
      </c>
      <c r="E67" s="1" t="n">
        <v>46218</v>
      </c>
      <c r="F67" t="inlineStr">
        <is>
          <t>DALARNAS LÄN</t>
        </is>
      </c>
      <c r="G67" t="inlineStr">
        <is>
          <t>GAGNEF</t>
        </is>
      </c>
      <c r="I67" t="n">
        <v>9.199999999999999</v>
      </c>
      <c r="J67" t="n">
        <v>0</v>
      </c>
      <c r="K67" t="n">
        <v>0</v>
      </c>
      <c r="L67" t="n">
        <v>0</v>
      </c>
      <c r="M67" t="n">
        <v>0</v>
      </c>
      <c r="N67" t="n">
        <v>0</v>
      </c>
      <c r="O67" t="n">
        <v>0</v>
      </c>
      <c r="P67" t="n">
        <v>0</v>
      </c>
      <c r="Q67" t="n">
        <v>0</v>
      </c>
      <c r="R67" t="n">
        <v>0</v>
      </c>
      <c r="S67" t="n">
        <v>0</v>
      </c>
      <c r="T67" t="n">
        <v>0</v>
      </c>
      <c r="U67" s="2" t="inlineStr"/>
    </row>
    <row r="68" ht="15" customHeight="1">
      <c r="A68" t="inlineStr">
        <is>
          <t>A 25620-2022</t>
        </is>
      </c>
      <c r="B68" t="inlineStr">
        <is>
          <t>avverkningsanmälan</t>
        </is>
      </c>
      <c r="C68" t="inlineStr">
        <is>
          <t>Föryngringsavverkning</t>
        </is>
      </c>
      <c r="D68" s="1" t="n">
        <v>44732</v>
      </c>
      <c r="E68" s="1" t="n">
        <v>46218</v>
      </c>
      <c r="F68" t="inlineStr">
        <is>
          <t>DALARNAS LÄN</t>
        </is>
      </c>
      <c r="G68" t="inlineStr">
        <is>
          <t>GAGNEF</t>
        </is>
      </c>
      <c r="H68" t="inlineStr">
        <is>
          <t>Kyrkan</t>
        </is>
      </c>
      <c r="I68" t="n">
        <v>1.6</v>
      </c>
      <c r="J68" t="n">
        <v>0</v>
      </c>
      <c r="K68" t="n">
        <v>0</v>
      </c>
      <c r="L68" t="n">
        <v>0</v>
      </c>
      <c r="M68" t="n">
        <v>0</v>
      </c>
      <c r="N68" t="n">
        <v>0</v>
      </c>
      <c r="O68" t="n">
        <v>0</v>
      </c>
      <c r="P68" t="n">
        <v>0</v>
      </c>
      <c r="Q68" t="n">
        <v>0</v>
      </c>
      <c r="R68" t="n">
        <v>0</v>
      </c>
      <c r="S68" t="n">
        <v>0</v>
      </c>
      <c r="T68" t="n">
        <v>0</v>
      </c>
      <c r="U68" s="2" t="inlineStr"/>
    </row>
    <row r="69" ht="15" customHeight="1">
      <c r="A69" t="inlineStr">
        <is>
          <t>A 25622-2022</t>
        </is>
      </c>
      <c r="B69" t="inlineStr">
        <is>
          <t>avverkningsanmälan</t>
        </is>
      </c>
      <c r="C69" t="inlineStr">
        <is>
          <t>Föryngringsavverkning</t>
        </is>
      </c>
      <c r="D69" s="1" t="n">
        <v>44732</v>
      </c>
      <c r="E69" s="1" t="n">
        <v>46218</v>
      </c>
      <c r="F69" t="inlineStr">
        <is>
          <t>DALARNAS LÄN</t>
        </is>
      </c>
      <c r="G69" t="inlineStr">
        <is>
          <t>GAGNEF</t>
        </is>
      </c>
      <c r="I69" t="n">
        <v>0.8</v>
      </c>
      <c r="J69" t="n">
        <v>0</v>
      </c>
      <c r="K69" t="n">
        <v>0</v>
      </c>
      <c r="L69" t="n">
        <v>0</v>
      </c>
      <c r="M69" t="n">
        <v>0</v>
      </c>
      <c r="N69" t="n">
        <v>0</v>
      </c>
      <c r="O69" t="n">
        <v>0</v>
      </c>
      <c r="P69" t="n">
        <v>0</v>
      </c>
      <c r="Q69" t="n">
        <v>0</v>
      </c>
      <c r="R69" t="n">
        <v>0</v>
      </c>
      <c r="S69" t="n">
        <v>0</v>
      </c>
      <c r="T69" t="n">
        <v>0</v>
      </c>
      <c r="U69" s="2" t="inlineStr"/>
    </row>
    <row r="70" ht="15" customHeight="1">
      <c r="A70" t="inlineStr">
        <is>
          <t>A 22596-2024</t>
        </is>
      </c>
      <c r="B70" t="inlineStr">
        <is>
          <t>avverkningsanmälan</t>
        </is>
      </c>
      <c r="C70" t="inlineStr">
        <is>
          <t>Föryngringsavverkning</t>
        </is>
      </c>
      <c r="D70" s="1" t="n">
        <v>45447</v>
      </c>
      <c r="E70" s="1" t="n">
        <v>46218</v>
      </c>
      <c r="F70" t="inlineStr">
        <is>
          <t>DALARNAS LÄN</t>
        </is>
      </c>
      <c r="G70" t="inlineStr">
        <is>
          <t>GAGNEF</t>
        </is>
      </c>
      <c r="I70" t="n">
        <v>1.7</v>
      </c>
      <c r="J70" t="n">
        <v>0</v>
      </c>
      <c r="K70" t="n">
        <v>0</v>
      </c>
      <c r="L70" t="n">
        <v>0</v>
      </c>
      <c r="M70" t="n">
        <v>0</v>
      </c>
      <c r="N70" t="n">
        <v>0</v>
      </c>
      <c r="O70" t="n">
        <v>0</v>
      </c>
      <c r="P70" t="n">
        <v>0</v>
      </c>
      <c r="Q70" t="n">
        <v>0</v>
      </c>
      <c r="R70" t="n">
        <v>0</v>
      </c>
      <c r="S70" t="n">
        <v>0</v>
      </c>
      <c r="T70" t="n">
        <v>0</v>
      </c>
      <c r="U70" s="2" t="inlineStr"/>
    </row>
    <row r="71" ht="15" customHeight="1">
      <c r="A71" t="inlineStr">
        <is>
          <t>A 54875-2023</t>
        </is>
      </c>
      <c r="B71" t="inlineStr">
        <is>
          <t>avverkningsanmälan</t>
        </is>
      </c>
      <c r="C71" t="inlineStr">
        <is>
          <t>Föryngringsavverkning</t>
        </is>
      </c>
      <c r="D71" s="1" t="n">
        <v>45236</v>
      </c>
      <c r="E71" s="1" t="n">
        <v>46218</v>
      </c>
      <c r="F71" t="inlineStr">
        <is>
          <t>DALARNAS LÄN</t>
        </is>
      </c>
      <c r="G71" t="inlineStr">
        <is>
          <t>GAGNEF</t>
        </is>
      </c>
      <c r="I71" t="n">
        <v>6.7</v>
      </c>
      <c r="J71" t="n">
        <v>0</v>
      </c>
      <c r="K71" t="n">
        <v>0</v>
      </c>
      <c r="L71" t="n">
        <v>0</v>
      </c>
      <c r="M71" t="n">
        <v>0</v>
      </c>
      <c r="N71" t="n">
        <v>0</v>
      </c>
      <c r="O71" t="n">
        <v>0</v>
      </c>
      <c r="P71" t="n">
        <v>0</v>
      </c>
      <c r="Q71" t="n">
        <v>0</v>
      </c>
      <c r="R71" t="n">
        <v>0</v>
      </c>
      <c r="S71" t="n">
        <v>0</v>
      </c>
      <c r="T71" t="n">
        <v>0</v>
      </c>
      <c r="U71" s="2" t="inlineStr"/>
    </row>
    <row r="72" ht="15" customHeight="1">
      <c r="A72" t="inlineStr">
        <is>
          <t>A 56807-2023</t>
        </is>
      </c>
      <c r="B72" t="inlineStr">
        <is>
          <t>avverkningsanmälan</t>
        </is>
      </c>
      <c r="C72" t="inlineStr">
        <is>
          <t>Föryngringsavverkning</t>
        </is>
      </c>
      <c r="D72" s="1" t="n">
        <v>45244</v>
      </c>
      <c r="E72" s="1" t="n">
        <v>46218</v>
      </c>
      <c r="F72" t="inlineStr">
        <is>
          <t>DALARNAS LÄN</t>
        </is>
      </c>
      <c r="G72" t="inlineStr">
        <is>
          <t>GAGNEF</t>
        </is>
      </c>
      <c r="I72" t="n">
        <v>10.9</v>
      </c>
      <c r="J72" t="n">
        <v>0</v>
      </c>
      <c r="K72" t="n">
        <v>0</v>
      </c>
      <c r="L72" t="n">
        <v>0</v>
      </c>
      <c r="M72" t="n">
        <v>0</v>
      </c>
      <c r="N72" t="n">
        <v>0</v>
      </c>
      <c r="O72" t="n">
        <v>0</v>
      </c>
      <c r="P72" t="n">
        <v>0</v>
      </c>
      <c r="Q72" t="n">
        <v>0</v>
      </c>
      <c r="R72" t="n">
        <v>0</v>
      </c>
      <c r="S72" t="n">
        <v>0</v>
      </c>
      <c r="T72" t="n">
        <v>0</v>
      </c>
      <c r="U72" s="2" t="inlineStr"/>
    </row>
    <row r="73" ht="15" customHeight="1">
      <c r="A73" t="inlineStr">
        <is>
          <t>A 45706-2024</t>
        </is>
      </c>
      <c r="B73" t="inlineStr">
        <is>
          <t>avverkningsanmälan</t>
        </is>
      </c>
      <c r="C73" t="inlineStr">
        <is>
          <t>Föryngringsavverkning</t>
        </is>
      </c>
      <c r="D73" s="1" t="n">
        <v>45579</v>
      </c>
      <c r="E73" s="1" t="n">
        <v>46218</v>
      </c>
      <c r="F73" t="inlineStr">
        <is>
          <t>DALARNAS LÄN</t>
        </is>
      </c>
      <c r="G73" t="inlineStr">
        <is>
          <t>GAGNEF</t>
        </is>
      </c>
      <c r="I73" t="n">
        <v>0.2</v>
      </c>
      <c r="J73" t="n">
        <v>0</v>
      </c>
      <c r="K73" t="n">
        <v>0</v>
      </c>
      <c r="L73" t="n">
        <v>0</v>
      </c>
      <c r="M73" t="n">
        <v>0</v>
      </c>
      <c r="N73" t="n">
        <v>0</v>
      </c>
      <c r="O73" t="n">
        <v>0</v>
      </c>
      <c r="P73" t="n">
        <v>0</v>
      </c>
      <c r="Q73" t="n">
        <v>0</v>
      </c>
      <c r="R73" t="n">
        <v>0</v>
      </c>
      <c r="S73" t="n">
        <v>0</v>
      </c>
      <c r="T73" t="n">
        <v>0</v>
      </c>
      <c r="U73" s="2" t="inlineStr"/>
    </row>
    <row r="74" ht="15" customHeight="1">
      <c r="A74" t="inlineStr">
        <is>
          <t>A 1479-2025</t>
        </is>
      </c>
      <c r="B74" t="inlineStr">
        <is>
          <t>avverkningsanmälan</t>
        </is>
      </c>
      <c r="C74" t="inlineStr">
        <is>
          <t>Föryngringsavverkning</t>
        </is>
      </c>
      <c r="D74" s="1" t="n">
        <v>45670</v>
      </c>
      <c r="E74" s="1" t="n">
        <v>46218</v>
      </c>
      <c r="F74" t="inlineStr">
        <is>
          <t>DALARNAS LÄN</t>
        </is>
      </c>
      <c r="G74" t="inlineStr">
        <is>
          <t>GAGNEF</t>
        </is>
      </c>
      <c r="I74" t="n">
        <v>5.5</v>
      </c>
      <c r="J74" t="n">
        <v>0</v>
      </c>
      <c r="K74" t="n">
        <v>0</v>
      </c>
      <c r="L74" t="n">
        <v>0</v>
      </c>
      <c r="M74" t="n">
        <v>0</v>
      </c>
      <c r="N74" t="n">
        <v>0</v>
      </c>
      <c r="O74" t="n">
        <v>0</v>
      </c>
      <c r="P74" t="n">
        <v>0</v>
      </c>
      <c r="Q74" t="n">
        <v>0</v>
      </c>
      <c r="R74" t="n">
        <v>0</v>
      </c>
      <c r="S74" t="n">
        <v>0</v>
      </c>
      <c r="T74" t="n">
        <v>0</v>
      </c>
      <c r="U74" s="2" t="inlineStr"/>
    </row>
    <row r="75" ht="15" customHeight="1">
      <c r="A75" t="inlineStr">
        <is>
          <t>A 1481-2025</t>
        </is>
      </c>
      <c r="B75" t="inlineStr">
        <is>
          <t>avverkningsanmälan</t>
        </is>
      </c>
      <c r="C75" t="inlineStr">
        <is>
          <t>Föryngringsavverkning</t>
        </is>
      </c>
      <c r="D75" s="1" t="n">
        <v>45670</v>
      </c>
      <c r="E75" s="1" t="n">
        <v>46218</v>
      </c>
      <c r="F75" t="inlineStr">
        <is>
          <t>DALARNAS LÄN</t>
        </is>
      </c>
      <c r="G75" t="inlineStr">
        <is>
          <t>GAGNEF</t>
        </is>
      </c>
      <c r="I75" t="n">
        <v>0.6</v>
      </c>
      <c r="J75" t="n">
        <v>0</v>
      </c>
      <c r="K75" t="n">
        <v>0</v>
      </c>
      <c r="L75" t="n">
        <v>0</v>
      </c>
      <c r="M75" t="n">
        <v>0</v>
      </c>
      <c r="N75" t="n">
        <v>0</v>
      </c>
      <c r="O75" t="n">
        <v>0</v>
      </c>
      <c r="P75" t="n">
        <v>0</v>
      </c>
      <c r="Q75" t="n">
        <v>0</v>
      </c>
      <c r="R75" t="n">
        <v>0</v>
      </c>
      <c r="S75" t="n">
        <v>0</v>
      </c>
      <c r="T75" t="n">
        <v>0</v>
      </c>
      <c r="U75" s="2" t="inlineStr"/>
    </row>
    <row r="76" ht="15" customHeight="1">
      <c r="A76" t="inlineStr">
        <is>
          <t>A 39112-2025</t>
        </is>
      </c>
      <c r="B76" t="inlineStr">
        <is>
          <t>avverkningsanmälan</t>
        </is>
      </c>
      <c r="C76" t="inlineStr">
        <is>
          <t>Föryngringsavverkning</t>
        </is>
      </c>
      <c r="D76" s="1" t="n">
        <v>45887</v>
      </c>
      <c r="E76" s="1" t="n">
        <v>46218</v>
      </c>
      <c r="F76" t="inlineStr">
        <is>
          <t>DALARNAS LÄN</t>
        </is>
      </c>
      <c r="G76" t="inlineStr">
        <is>
          <t>GAGNEF</t>
        </is>
      </c>
      <c r="I76" t="n">
        <v>3.1</v>
      </c>
      <c r="J76" t="n">
        <v>0</v>
      </c>
      <c r="K76" t="n">
        <v>0</v>
      </c>
      <c r="L76" t="n">
        <v>0</v>
      </c>
      <c r="M76" t="n">
        <v>0</v>
      </c>
      <c r="N76" t="n">
        <v>0</v>
      </c>
      <c r="O76" t="n">
        <v>0</v>
      </c>
      <c r="P76" t="n">
        <v>0</v>
      </c>
      <c r="Q76" t="n">
        <v>0</v>
      </c>
      <c r="R76" t="n">
        <v>0</v>
      </c>
      <c r="S76" t="n">
        <v>0</v>
      </c>
      <c r="T76" t="n">
        <v>0</v>
      </c>
      <c r="U76" s="2" t="inlineStr"/>
    </row>
    <row r="77" ht="15" customHeight="1">
      <c r="A77" t="inlineStr">
        <is>
          <t>A 51138-2022</t>
        </is>
      </c>
      <c r="B77" t="inlineStr">
        <is>
          <t>avverkningsanmälan</t>
        </is>
      </c>
      <c r="C77" t="inlineStr">
        <is>
          <t>Föryngringsavverkning</t>
        </is>
      </c>
      <c r="D77" s="1" t="n">
        <v>44868</v>
      </c>
      <c r="E77" s="1" t="n">
        <v>46218</v>
      </c>
      <c r="F77" t="inlineStr">
        <is>
          <t>DALARNAS LÄN</t>
        </is>
      </c>
      <c r="G77" t="inlineStr">
        <is>
          <t>GAGNEF</t>
        </is>
      </c>
      <c r="I77" t="n">
        <v>0.6</v>
      </c>
      <c r="J77" t="n">
        <v>0</v>
      </c>
      <c r="K77" t="n">
        <v>0</v>
      </c>
      <c r="L77" t="n">
        <v>0</v>
      </c>
      <c r="M77" t="n">
        <v>0</v>
      </c>
      <c r="N77" t="n">
        <v>0</v>
      </c>
      <c r="O77" t="n">
        <v>0</v>
      </c>
      <c r="P77" t="n">
        <v>0</v>
      </c>
      <c r="Q77" t="n">
        <v>0</v>
      </c>
      <c r="R77" t="n">
        <v>0</v>
      </c>
      <c r="S77" t="n">
        <v>0</v>
      </c>
      <c r="T77" t="n">
        <v>0</v>
      </c>
      <c r="U77" s="2" t="inlineStr"/>
    </row>
    <row r="78" ht="15" customHeight="1">
      <c r="A78" t="inlineStr">
        <is>
          <t>A 20513-2023</t>
        </is>
      </c>
      <c r="B78" t="inlineStr">
        <is>
          <t>avverkningsanmälan</t>
        </is>
      </c>
      <c r="C78" t="inlineStr">
        <is>
          <t>Föryngringsavverkning</t>
        </is>
      </c>
      <c r="D78" s="1" t="n">
        <v>45057</v>
      </c>
      <c r="E78" s="1" t="n">
        <v>46218</v>
      </c>
      <c r="F78" t="inlineStr">
        <is>
          <t>DALARNAS LÄN</t>
        </is>
      </c>
      <c r="G78" t="inlineStr">
        <is>
          <t>GAGNEF</t>
        </is>
      </c>
      <c r="I78" t="n">
        <v>0.7</v>
      </c>
      <c r="J78" t="n">
        <v>0</v>
      </c>
      <c r="K78" t="n">
        <v>0</v>
      </c>
      <c r="L78" t="n">
        <v>0</v>
      </c>
      <c r="M78" t="n">
        <v>0</v>
      </c>
      <c r="N78" t="n">
        <v>0</v>
      </c>
      <c r="O78" t="n">
        <v>0</v>
      </c>
      <c r="P78" t="n">
        <v>0</v>
      </c>
      <c r="Q78" t="n">
        <v>0</v>
      </c>
      <c r="R78" t="n">
        <v>0</v>
      </c>
      <c r="S78" t="n">
        <v>0</v>
      </c>
      <c r="T78" t="n">
        <v>0</v>
      </c>
      <c r="U78" s="2" t="inlineStr"/>
    </row>
    <row r="79" ht="15" customHeight="1">
      <c r="A79" t="inlineStr">
        <is>
          <t>A 44149-2023</t>
        </is>
      </c>
      <c r="B79" t="inlineStr">
        <is>
          <t>avverkningsanmälan</t>
        </is>
      </c>
      <c r="C79" t="inlineStr">
        <is>
          <t>Föryngringsavverkning</t>
        </is>
      </c>
      <c r="D79" s="1" t="n">
        <v>45188</v>
      </c>
      <c r="E79" s="1" t="n">
        <v>46218</v>
      </c>
      <c r="F79" t="inlineStr">
        <is>
          <t>DALARNAS LÄN</t>
        </is>
      </c>
      <c r="G79" t="inlineStr">
        <is>
          <t>GAGNEF</t>
        </is>
      </c>
      <c r="I79" t="n">
        <v>1.7</v>
      </c>
      <c r="J79" t="n">
        <v>0</v>
      </c>
      <c r="K79" t="n">
        <v>0</v>
      </c>
      <c r="L79" t="n">
        <v>0</v>
      </c>
      <c r="M79" t="n">
        <v>0</v>
      </c>
      <c r="N79" t="n">
        <v>0</v>
      </c>
      <c r="O79" t="n">
        <v>0</v>
      </c>
      <c r="P79" t="n">
        <v>0</v>
      </c>
      <c r="Q79" t="n">
        <v>0</v>
      </c>
      <c r="R79" t="n">
        <v>0</v>
      </c>
      <c r="S79" t="n">
        <v>0</v>
      </c>
      <c r="T79" t="n">
        <v>0</v>
      </c>
      <c r="U79" s="2" t="inlineStr"/>
    </row>
    <row r="80" ht="15" customHeight="1">
      <c r="A80" t="inlineStr">
        <is>
          <t>A 3818-2025</t>
        </is>
      </c>
      <c r="B80" t="inlineStr">
        <is>
          <t>avverkningsanmälan</t>
        </is>
      </c>
      <c r="C80" t="inlineStr">
        <is>
          <t>Föryngringsavverkning</t>
        </is>
      </c>
      <c r="D80" s="1" t="n">
        <v>45681</v>
      </c>
      <c r="E80" s="1" t="n">
        <v>46218</v>
      </c>
      <c r="F80" t="inlineStr">
        <is>
          <t>DALARNAS LÄN</t>
        </is>
      </c>
      <c r="G80" t="inlineStr">
        <is>
          <t>GAGNEF</t>
        </is>
      </c>
      <c r="I80" t="n">
        <v>0.6</v>
      </c>
      <c r="J80" t="n">
        <v>0</v>
      </c>
      <c r="K80" t="n">
        <v>0</v>
      </c>
      <c r="L80" t="n">
        <v>0</v>
      </c>
      <c r="M80" t="n">
        <v>0</v>
      </c>
      <c r="N80" t="n">
        <v>0</v>
      </c>
      <c r="O80" t="n">
        <v>0</v>
      </c>
      <c r="P80" t="n">
        <v>0</v>
      </c>
      <c r="Q80" t="n">
        <v>0</v>
      </c>
      <c r="R80" t="n">
        <v>0</v>
      </c>
      <c r="S80" t="n">
        <v>0</v>
      </c>
      <c r="T80" t="n">
        <v>0</v>
      </c>
      <c r="U80" s="2" t="inlineStr"/>
    </row>
    <row r="81" ht="15" customHeight="1">
      <c r="A81" t="inlineStr">
        <is>
          <t>A 3819-2025</t>
        </is>
      </c>
      <c r="B81" t="inlineStr">
        <is>
          <t>avverkningsanmälan</t>
        </is>
      </c>
      <c r="C81" t="inlineStr">
        <is>
          <t>Föryngringsavverkning</t>
        </is>
      </c>
      <c r="D81" s="1" t="n">
        <v>45681</v>
      </c>
      <c r="E81" s="1" t="n">
        <v>46218</v>
      </c>
      <c r="F81" t="inlineStr">
        <is>
          <t>DALARNAS LÄN</t>
        </is>
      </c>
      <c r="G81" t="inlineStr">
        <is>
          <t>GAGNEF</t>
        </is>
      </c>
      <c r="I81" t="n">
        <v>0.9</v>
      </c>
      <c r="J81" t="n">
        <v>0</v>
      </c>
      <c r="K81" t="n">
        <v>0</v>
      </c>
      <c r="L81" t="n">
        <v>0</v>
      </c>
      <c r="M81" t="n">
        <v>0</v>
      </c>
      <c r="N81" t="n">
        <v>0</v>
      </c>
      <c r="O81" t="n">
        <v>0</v>
      </c>
      <c r="P81" t="n">
        <v>0</v>
      </c>
      <c r="Q81" t="n">
        <v>0</v>
      </c>
      <c r="R81" t="n">
        <v>0</v>
      </c>
      <c r="S81" t="n">
        <v>0</v>
      </c>
      <c r="T81" t="n">
        <v>0</v>
      </c>
      <c r="U81" s="2" t="inlineStr"/>
    </row>
    <row r="82" ht="15" customHeight="1">
      <c r="A82" t="inlineStr">
        <is>
          <t>A 52432-2024</t>
        </is>
      </c>
      <c r="B82" t="inlineStr">
        <is>
          <t>avverkningsanmälan</t>
        </is>
      </c>
      <c r="C82" t="inlineStr">
        <is>
          <t>Föryngringsavverkning</t>
        </is>
      </c>
      <c r="D82" s="1" t="n">
        <v>45608</v>
      </c>
      <c r="E82" s="1" t="n">
        <v>46218</v>
      </c>
      <c r="F82" t="inlineStr">
        <is>
          <t>DALARNAS LÄN</t>
        </is>
      </c>
      <c r="G82" t="inlineStr">
        <is>
          <t>GAGNEF</t>
        </is>
      </c>
      <c r="I82" t="n">
        <v>1.6</v>
      </c>
      <c r="J82" t="n">
        <v>0</v>
      </c>
      <c r="K82" t="n">
        <v>0</v>
      </c>
      <c r="L82" t="n">
        <v>0</v>
      </c>
      <c r="M82" t="n">
        <v>0</v>
      </c>
      <c r="N82" t="n">
        <v>0</v>
      </c>
      <c r="O82" t="n">
        <v>0</v>
      </c>
      <c r="P82" t="n">
        <v>0</v>
      </c>
      <c r="Q82" t="n">
        <v>0</v>
      </c>
      <c r="R82" t="n">
        <v>0</v>
      </c>
      <c r="S82" t="n">
        <v>0</v>
      </c>
      <c r="T82" t="n">
        <v>0</v>
      </c>
      <c r="U82" s="2" t="inlineStr"/>
    </row>
    <row r="83" ht="15" customHeight="1">
      <c r="A83" t="inlineStr">
        <is>
          <t>A 5859-2025</t>
        </is>
      </c>
      <c r="B83" t="inlineStr">
        <is>
          <t>avverkningsanmälan</t>
        </is>
      </c>
      <c r="C83" t="inlineStr">
        <is>
          <t>Föryngringsavverkning</t>
        </is>
      </c>
      <c r="D83" s="1" t="n">
        <v>45695</v>
      </c>
      <c r="E83" s="1" t="n">
        <v>46218</v>
      </c>
      <c r="F83" t="inlineStr">
        <is>
          <t>DALARNAS LÄN</t>
        </is>
      </c>
      <c r="G83" t="inlineStr">
        <is>
          <t>GAGNEF</t>
        </is>
      </c>
      <c r="I83" t="n">
        <v>0.5</v>
      </c>
      <c r="J83" t="n">
        <v>0</v>
      </c>
      <c r="K83" t="n">
        <v>0</v>
      </c>
      <c r="L83" t="n">
        <v>0</v>
      </c>
      <c r="M83" t="n">
        <v>0</v>
      </c>
      <c r="N83" t="n">
        <v>0</v>
      </c>
      <c r="O83" t="n">
        <v>0</v>
      </c>
      <c r="P83" t="n">
        <v>0</v>
      </c>
      <c r="Q83" t="n">
        <v>0</v>
      </c>
      <c r="R83" t="n">
        <v>0</v>
      </c>
      <c r="S83" t="n">
        <v>0</v>
      </c>
      <c r="T83" t="n">
        <v>0</v>
      </c>
      <c r="U83" s="2" t="inlineStr"/>
    </row>
    <row r="84" ht="15" customHeight="1">
      <c r="A84" t="inlineStr">
        <is>
          <t>A 44546-2024</t>
        </is>
      </c>
      <c r="B84" t="inlineStr">
        <is>
          <t>avverkningsanmälan</t>
        </is>
      </c>
      <c r="C84" t="inlineStr">
        <is>
          <t>Föryngringsavverkning</t>
        </is>
      </c>
      <c r="D84" s="1" t="n">
        <v>45574</v>
      </c>
      <c r="E84" s="1" t="n">
        <v>46218</v>
      </c>
      <c r="F84" t="inlineStr">
        <is>
          <t>DALARNAS LÄN</t>
        </is>
      </c>
      <c r="G84" t="inlineStr">
        <is>
          <t>GAGNEF</t>
        </is>
      </c>
      <c r="I84" t="n">
        <v>1.2</v>
      </c>
      <c r="J84" t="n">
        <v>0</v>
      </c>
      <c r="K84" t="n">
        <v>0</v>
      </c>
      <c r="L84" t="n">
        <v>0</v>
      </c>
      <c r="M84" t="n">
        <v>0</v>
      </c>
      <c r="N84" t="n">
        <v>0</v>
      </c>
      <c r="O84" t="n">
        <v>0</v>
      </c>
      <c r="P84" t="n">
        <v>0</v>
      </c>
      <c r="Q84" t="n">
        <v>0</v>
      </c>
      <c r="R84" t="n">
        <v>0</v>
      </c>
      <c r="S84" t="n">
        <v>0</v>
      </c>
      <c r="T84" t="n">
        <v>0</v>
      </c>
      <c r="U84" s="2" t="inlineStr"/>
    </row>
    <row r="85" ht="15" customHeight="1">
      <c r="A85" t="inlineStr">
        <is>
          <t>A 38422-2024</t>
        </is>
      </c>
      <c r="B85" t="inlineStr">
        <is>
          <t>avverkningsanmälan</t>
        </is>
      </c>
      <c r="C85" t="inlineStr">
        <is>
          <t>Föryngringsavverkning</t>
        </is>
      </c>
      <c r="D85" s="1" t="n">
        <v>45546</v>
      </c>
      <c r="E85" s="1" t="n">
        <v>46218</v>
      </c>
      <c r="F85" t="inlineStr">
        <is>
          <t>DALARNAS LÄN</t>
        </is>
      </c>
      <c r="G85" t="inlineStr">
        <is>
          <t>GAGNEF</t>
        </is>
      </c>
      <c r="H85" t="inlineStr">
        <is>
          <t>Bergvik skog väst AB</t>
        </is>
      </c>
      <c r="I85" t="n">
        <v>0.6</v>
      </c>
      <c r="J85" t="n">
        <v>0</v>
      </c>
      <c r="K85" t="n">
        <v>0</v>
      </c>
      <c r="L85" t="n">
        <v>0</v>
      </c>
      <c r="M85" t="n">
        <v>0</v>
      </c>
      <c r="N85" t="n">
        <v>0</v>
      </c>
      <c r="O85" t="n">
        <v>0</v>
      </c>
      <c r="P85" t="n">
        <v>0</v>
      </c>
      <c r="Q85" t="n">
        <v>0</v>
      </c>
      <c r="R85" t="n">
        <v>0</v>
      </c>
      <c r="S85" t="n">
        <v>0</v>
      </c>
      <c r="T85" t="n">
        <v>0</v>
      </c>
      <c r="U85" s="2" t="inlineStr"/>
    </row>
    <row r="86" ht="15" customHeight="1">
      <c r="A86" t="inlineStr">
        <is>
          <t>A 16192-2022</t>
        </is>
      </c>
      <c r="B86" t="inlineStr">
        <is>
          <t>avverkningsanmälan</t>
        </is>
      </c>
      <c r="C86" t="inlineStr">
        <is>
          <t>Föryngringsavverkning</t>
        </is>
      </c>
      <c r="D86" s="1" t="n">
        <v>44669</v>
      </c>
      <c r="E86" s="1" t="n">
        <v>46218</v>
      </c>
      <c r="F86" t="inlineStr">
        <is>
          <t>DALARNAS LÄN</t>
        </is>
      </c>
      <c r="G86" t="inlineStr">
        <is>
          <t>GAGNEF</t>
        </is>
      </c>
      <c r="H86" t="inlineStr">
        <is>
          <t>Bergvik skog väst AB</t>
        </is>
      </c>
      <c r="I86" t="n">
        <v>1.4</v>
      </c>
      <c r="J86" t="n">
        <v>0</v>
      </c>
      <c r="K86" t="n">
        <v>0</v>
      </c>
      <c r="L86" t="n">
        <v>0</v>
      </c>
      <c r="M86" t="n">
        <v>0</v>
      </c>
      <c r="N86" t="n">
        <v>0</v>
      </c>
      <c r="O86" t="n">
        <v>0</v>
      </c>
      <c r="P86" t="n">
        <v>0</v>
      </c>
      <c r="Q86" t="n">
        <v>0</v>
      </c>
      <c r="R86" t="n">
        <v>0</v>
      </c>
      <c r="S86" t="n">
        <v>0</v>
      </c>
      <c r="T86" t="n">
        <v>0</v>
      </c>
      <c r="U86" s="2" t="inlineStr"/>
    </row>
    <row r="87" ht="15" customHeight="1">
      <c r="A87" t="inlineStr">
        <is>
          <t>A 36005-2023</t>
        </is>
      </c>
      <c r="B87" t="inlineStr">
        <is>
          <t>avverkningsanmälan</t>
        </is>
      </c>
      <c r="C87" t="inlineStr">
        <is>
          <t>Föryngringsavverkning</t>
        </is>
      </c>
      <c r="D87" s="1" t="n">
        <v>45148</v>
      </c>
      <c r="E87" s="1" t="n">
        <v>46218</v>
      </c>
      <c r="F87" t="inlineStr">
        <is>
          <t>DALARNAS LÄN</t>
        </is>
      </c>
      <c r="G87" t="inlineStr">
        <is>
          <t>GAGNEF</t>
        </is>
      </c>
      <c r="I87" t="n">
        <v>1.2</v>
      </c>
      <c r="J87" t="n">
        <v>0</v>
      </c>
      <c r="K87" t="n">
        <v>0</v>
      </c>
      <c r="L87" t="n">
        <v>0</v>
      </c>
      <c r="M87" t="n">
        <v>0</v>
      </c>
      <c r="N87" t="n">
        <v>0</v>
      </c>
      <c r="O87" t="n">
        <v>0</v>
      </c>
      <c r="P87" t="n">
        <v>0</v>
      </c>
      <c r="Q87" t="n">
        <v>0</v>
      </c>
      <c r="R87" t="n">
        <v>0</v>
      </c>
      <c r="S87" t="n">
        <v>0</v>
      </c>
      <c r="T87" t="n">
        <v>0</v>
      </c>
      <c r="U87" s="2" t="inlineStr"/>
    </row>
    <row r="88" ht="15" customHeight="1">
      <c r="A88" t="inlineStr">
        <is>
          <t>A 40409-2022</t>
        </is>
      </c>
      <c r="B88" t="inlineStr">
        <is>
          <t>avverkningsanmälan</t>
        </is>
      </c>
      <c r="C88" t="inlineStr">
        <is>
          <t>Föryngringsavverkning</t>
        </is>
      </c>
      <c r="D88" s="1" t="n">
        <v>44823</v>
      </c>
      <c r="E88" s="1" t="n">
        <v>46218</v>
      </c>
      <c r="F88" t="inlineStr">
        <is>
          <t>DALARNAS LÄN</t>
        </is>
      </c>
      <c r="G88" t="inlineStr">
        <is>
          <t>GAGNEF</t>
        </is>
      </c>
      <c r="I88" t="n">
        <v>3</v>
      </c>
      <c r="J88" t="n">
        <v>0</v>
      </c>
      <c r="K88" t="n">
        <v>0</v>
      </c>
      <c r="L88" t="n">
        <v>0</v>
      </c>
      <c r="M88" t="n">
        <v>0</v>
      </c>
      <c r="N88" t="n">
        <v>0</v>
      </c>
      <c r="O88" t="n">
        <v>0</v>
      </c>
      <c r="P88" t="n">
        <v>0</v>
      </c>
      <c r="Q88" t="n">
        <v>0</v>
      </c>
      <c r="R88" t="n">
        <v>0</v>
      </c>
      <c r="S88" t="n">
        <v>0</v>
      </c>
      <c r="T88" t="n">
        <v>0</v>
      </c>
      <c r="U88" s="2" t="inlineStr"/>
    </row>
    <row r="89" ht="15" customHeight="1">
      <c r="A89" t="inlineStr">
        <is>
          <t>A 28307-2022</t>
        </is>
      </c>
      <c r="B89" t="inlineStr">
        <is>
          <t>avverkningsanmälan</t>
        </is>
      </c>
      <c r="C89" t="inlineStr">
        <is>
          <t>Föryngringsavverkning</t>
        </is>
      </c>
      <c r="D89" s="1" t="n">
        <v>44747</v>
      </c>
      <c r="E89" s="1" t="n">
        <v>46218</v>
      </c>
      <c r="F89" t="inlineStr">
        <is>
          <t>DALARNAS LÄN</t>
        </is>
      </c>
      <c r="G89" t="inlineStr">
        <is>
          <t>GAGNEF</t>
        </is>
      </c>
      <c r="I89" t="n">
        <v>2.7</v>
      </c>
      <c r="J89" t="n">
        <v>0</v>
      </c>
      <c r="K89" t="n">
        <v>0</v>
      </c>
      <c r="L89" t="n">
        <v>0</v>
      </c>
      <c r="M89" t="n">
        <v>0</v>
      </c>
      <c r="N89" t="n">
        <v>0</v>
      </c>
      <c r="O89" t="n">
        <v>0</v>
      </c>
      <c r="P89" t="n">
        <v>0</v>
      </c>
      <c r="Q89" t="n">
        <v>0</v>
      </c>
      <c r="R89" t="n">
        <v>0</v>
      </c>
      <c r="S89" t="n">
        <v>0</v>
      </c>
      <c r="T89" t="n">
        <v>0</v>
      </c>
      <c r="U89" s="2" t="inlineStr"/>
    </row>
    <row r="90" ht="15" customHeight="1">
      <c r="A90" t="inlineStr">
        <is>
          <t>A 42298-2025</t>
        </is>
      </c>
      <c r="B90" t="inlineStr">
        <is>
          <t>avverkningsanmälan</t>
        </is>
      </c>
      <c r="C90" t="inlineStr">
        <is>
          <t>Föryngringsavverkning</t>
        </is>
      </c>
      <c r="D90" s="1" t="n">
        <v>45904</v>
      </c>
      <c r="E90" s="1" t="n">
        <v>46218</v>
      </c>
      <c r="F90" t="inlineStr">
        <is>
          <t>DALARNAS LÄN</t>
        </is>
      </c>
      <c r="G90" t="inlineStr">
        <is>
          <t>GAGNEF</t>
        </is>
      </c>
      <c r="H90" t="inlineStr">
        <is>
          <t>Bergvik skog väst AB</t>
        </is>
      </c>
      <c r="I90" t="n">
        <v>1.3</v>
      </c>
      <c r="J90" t="n">
        <v>0</v>
      </c>
      <c r="K90" t="n">
        <v>0</v>
      </c>
      <c r="L90" t="n">
        <v>0</v>
      </c>
      <c r="M90" t="n">
        <v>0</v>
      </c>
      <c r="N90" t="n">
        <v>0</v>
      </c>
      <c r="O90" t="n">
        <v>0</v>
      </c>
      <c r="P90" t="n">
        <v>0</v>
      </c>
      <c r="Q90" t="n">
        <v>0</v>
      </c>
      <c r="R90" t="n">
        <v>0</v>
      </c>
      <c r="S90" t="n">
        <v>0</v>
      </c>
      <c r="T90" t="n">
        <v>0</v>
      </c>
      <c r="U90" s="2" t="inlineStr"/>
    </row>
    <row r="91" ht="15" customHeight="1">
      <c r="A91" t="inlineStr">
        <is>
          <t>A 42303-2025</t>
        </is>
      </c>
      <c r="B91" t="inlineStr">
        <is>
          <t>avverkningsanmälan</t>
        </is>
      </c>
      <c r="C91" t="inlineStr">
        <is>
          <t>Föryngringsavverkning</t>
        </is>
      </c>
      <c r="D91" s="1" t="n">
        <v>45904</v>
      </c>
      <c r="E91" s="1" t="n">
        <v>46218</v>
      </c>
      <c r="F91" t="inlineStr">
        <is>
          <t>DALARNAS LÄN</t>
        </is>
      </c>
      <c r="G91" t="inlineStr">
        <is>
          <t>GAGNEF</t>
        </is>
      </c>
      <c r="H91" t="inlineStr">
        <is>
          <t>Bergvik skog väst AB</t>
        </is>
      </c>
      <c r="I91" t="n">
        <v>0.6</v>
      </c>
      <c r="J91" t="n">
        <v>0</v>
      </c>
      <c r="K91" t="n">
        <v>0</v>
      </c>
      <c r="L91" t="n">
        <v>0</v>
      </c>
      <c r="M91" t="n">
        <v>0</v>
      </c>
      <c r="N91" t="n">
        <v>0</v>
      </c>
      <c r="O91" t="n">
        <v>0</v>
      </c>
      <c r="P91" t="n">
        <v>0</v>
      </c>
      <c r="Q91" t="n">
        <v>0</v>
      </c>
      <c r="R91" t="n">
        <v>0</v>
      </c>
      <c r="S91" t="n">
        <v>0</v>
      </c>
      <c r="T91" t="n">
        <v>0</v>
      </c>
      <c r="U91" s="2" t="inlineStr"/>
    </row>
    <row r="92" ht="15" customHeight="1">
      <c r="A92" t="inlineStr">
        <is>
          <t>A 41368-2023</t>
        </is>
      </c>
      <c r="B92" t="inlineStr">
        <is>
          <t>avverkningsanmälan</t>
        </is>
      </c>
      <c r="C92" t="inlineStr">
        <is>
          <t>Avverkning för annat ändamål</t>
        </is>
      </c>
      <c r="D92" s="1" t="n">
        <v>45174</v>
      </c>
      <c r="E92" s="1" t="n">
        <v>46218</v>
      </c>
      <c r="F92" t="inlineStr">
        <is>
          <t>DALARNAS LÄN</t>
        </is>
      </c>
      <c r="G92" t="inlineStr">
        <is>
          <t>GAGNEF</t>
        </is>
      </c>
      <c r="I92" t="n">
        <v>0.2</v>
      </c>
      <c r="J92" t="n">
        <v>0</v>
      </c>
      <c r="K92" t="n">
        <v>0</v>
      </c>
      <c r="L92" t="n">
        <v>0</v>
      </c>
      <c r="M92" t="n">
        <v>0</v>
      </c>
      <c r="N92" t="n">
        <v>0</v>
      </c>
      <c r="O92" t="n">
        <v>0</v>
      </c>
      <c r="P92" t="n">
        <v>0</v>
      </c>
      <c r="Q92" t="n">
        <v>0</v>
      </c>
      <c r="R92" t="n">
        <v>0</v>
      </c>
      <c r="S92" t="n">
        <v>0</v>
      </c>
      <c r="T92" t="n">
        <v>0</v>
      </c>
      <c r="U92" s="2" t="inlineStr"/>
    </row>
    <row r="93" ht="15" customHeight="1">
      <c r="A93" t="inlineStr">
        <is>
          <t>A 7817-2023</t>
        </is>
      </c>
      <c r="B93" t="inlineStr">
        <is>
          <t>avverkningsanmälan</t>
        </is>
      </c>
      <c r="C93" t="inlineStr">
        <is>
          <t>Föryngringsavverkning</t>
        </is>
      </c>
      <c r="D93" s="1" t="n">
        <v>44973</v>
      </c>
      <c r="E93" s="1" t="n">
        <v>46218</v>
      </c>
      <c r="F93" t="inlineStr">
        <is>
          <t>DALARNAS LÄN</t>
        </is>
      </c>
      <c r="G93" t="inlineStr">
        <is>
          <t>GAGNEF</t>
        </is>
      </c>
      <c r="I93" t="n">
        <v>0.6</v>
      </c>
      <c r="J93" t="n">
        <v>0</v>
      </c>
      <c r="K93" t="n">
        <v>0</v>
      </c>
      <c r="L93" t="n">
        <v>0</v>
      </c>
      <c r="M93" t="n">
        <v>0</v>
      </c>
      <c r="N93" t="n">
        <v>0</v>
      </c>
      <c r="O93" t="n">
        <v>0</v>
      </c>
      <c r="P93" t="n">
        <v>0</v>
      </c>
      <c r="Q93" t="n">
        <v>0</v>
      </c>
      <c r="R93" t="n">
        <v>0</v>
      </c>
      <c r="S93" t="n">
        <v>0</v>
      </c>
      <c r="T93" t="n">
        <v>0</v>
      </c>
      <c r="U93" s="2" t="inlineStr"/>
    </row>
    <row r="94" ht="15" customHeight="1">
      <c r="A94" t="inlineStr">
        <is>
          <t>A 15686-2024</t>
        </is>
      </c>
      <c r="B94" t="inlineStr">
        <is>
          <t>avverkningsanmälan</t>
        </is>
      </c>
      <c r="C94" t="inlineStr">
        <is>
          <t>Föryngringsavverkning</t>
        </is>
      </c>
      <c r="D94" s="1" t="n">
        <v>45404</v>
      </c>
      <c r="E94" s="1" t="n">
        <v>46218</v>
      </c>
      <c r="F94" t="inlineStr">
        <is>
          <t>DALARNAS LÄN</t>
        </is>
      </c>
      <c r="G94" t="inlineStr">
        <is>
          <t>GAGNEF</t>
        </is>
      </c>
      <c r="I94" t="n">
        <v>2.4</v>
      </c>
      <c r="J94" t="n">
        <v>0</v>
      </c>
      <c r="K94" t="n">
        <v>0</v>
      </c>
      <c r="L94" t="n">
        <v>0</v>
      </c>
      <c r="M94" t="n">
        <v>0</v>
      </c>
      <c r="N94" t="n">
        <v>0</v>
      </c>
      <c r="O94" t="n">
        <v>0</v>
      </c>
      <c r="P94" t="n">
        <v>0</v>
      </c>
      <c r="Q94" t="n">
        <v>0</v>
      </c>
      <c r="R94" t="n">
        <v>0</v>
      </c>
      <c r="S94" t="n">
        <v>0</v>
      </c>
      <c r="T94" t="n">
        <v>0</v>
      </c>
      <c r="U94" s="2" t="inlineStr"/>
    </row>
    <row r="95" ht="15" customHeight="1">
      <c r="A95" t="inlineStr">
        <is>
          <t>A 23654-2023</t>
        </is>
      </c>
      <c r="B95" t="inlineStr">
        <is>
          <t>avverkningsanmälan</t>
        </is>
      </c>
      <c r="C95" t="inlineStr">
        <is>
          <t>Föryngringsavverkning</t>
        </is>
      </c>
      <c r="D95" s="1" t="n">
        <v>45077</v>
      </c>
      <c r="E95" s="1" t="n">
        <v>46218</v>
      </c>
      <c r="F95" t="inlineStr">
        <is>
          <t>DALARNAS LÄN</t>
        </is>
      </c>
      <c r="G95" t="inlineStr">
        <is>
          <t>GAGNEF</t>
        </is>
      </c>
      <c r="I95" t="n">
        <v>3</v>
      </c>
      <c r="J95" t="n">
        <v>0</v>
      </c>
      <c r="K95" t="n">
        <v>0</v>
      </c>
      <c r="L95" t="n">
        <v>0</v>
      </c>
      <c r="M95" t="n">
        <v>0</v>
      </c>
      <c r="N95" t="n">
        <v>0</v>
      </c>
      <c r="O95" t="n">
        <v>0</v>
      </c>
      <c r="P95" t="n">
        <v>0</v>
      </c>
      <c r="Q95" t="n">
        <v>0</v>
      </c>
      <c r="R95" t="n">
        <v>0</v>
      </c>
      <c r="S95" t="n">
        <v>0</v>
      </c>
      <c r="T95" t="n">
        <v>0</v>
      </c>
      <c r="U95" s="2" t="inlineStr"/>
    </row>
    <row r="96" ht="15" customHeight="1">
      <c r="A96" t="inlineStr">
        <is>
          <t>A 38074-2024</t>
        </is>
      </c>
      <c r="B96" t="inlineStr">
        <is>
          <t>avverkningsanmälan</t>
        </is>
      </c>
      <c r="C96" t="inlineStr">
        <is>
          <t>Föryngringsavverkning</t>
        </is>
      </c>
      <c r="D96" s="1" t="n">
        <v>45545</v>
      </c>
      <c r="E96" s="1" t="n">
        <v>46218</v>
      </c>
      <c r="F96" t="inlineStr">
        <is>
          <t>DALARNAS LÄN</t>
        </is>
      </c>
      <c r="G96" t="inlineStr">
        <is>
          <t>GAGNEF</t>
        </is>
      </c>
      <c r="I96" t="n">
        <v>1</v>
      </c>
      <c r="J96" t="n">
        <v>0</v>
      </c>
      <c r="K96" t="n">
        <v>0</v>
      </c>
      <c r="L96" t="n">
        <v>0</v>
      </c>
      <c r="M96" t="n">
        <v>0</v>
      </c>
      <c r="N96" t="n">
        <v>0</v>
      </c>
      <c r="O96" t="n">
        <v>0</v>
      </c>
      <c r="P96" t="n">
        <v>0</v>
      </c>
      <c r="Q96" t="n">
        <v>0</v>
      </c>
      <c r="R96" t="n">
        <v>0</v>
      </c>
      <c r="S96" t="n">
        <v>0</v>
      </c>
      <c r="T96" t="n">
        <v>0</v>
      </c>
      <c r="U96" s="2" t="inlineStr"/>
    </row>
    <row r="97" ht="15" customHeight="1">
      <c r="A97" t="inlineStr">
        <is>
          <t>A 43564-2025</t>
        </is>
      </c>
      <c r="B97" t="inlineStr">
        <is>
          <t>avverkningsanmälan</t>
        </is>
      </c>
      <c r="C97" t="inlineStr">
        <is>
          <t>Avverkning för annat ändamål</t>
        </is>
      </c>
      <c r="D97" s="1" t="n">
        <v>45911</v>
      </c>
      <c r="E97" s="1" t="n">
        <v>46218</v>
      </c>
      <c r="F97" t="inlineStr">
        <is>
          <t>DALARNAS LÄN</t>
        </is>
      </c>
      <c r="G97" t="inlineStr">
        <is>
          <t>GAGNEF</t>
        </is>
      </c>
      <c r="I97" t="n">
        <v>1.1</v>
      </c>
      <c r="J97" t="n">
        <v>0</v>
      </c>
      <c r="K97" t="n">
        <v>0</v>
      </c>
      <c r="L97" t="n">
        <v>0</v>
      </c>
      <c r="M97" t="n">
        <v>0</v>
      </c>
      <c r="N97" t="n">
        <v>0</v>
      </c>
      <c r="O97" t="n">
        <v>0</v>
      </c>
      <c r="P97" t="n">
        <v>0</v>
      </c>
      <c r="Q97" t="n">
        <v>0</v>
      </c>
      <c r="R97" t="n">
        <v>0</v>
      </c>
      <c r="S97" t="n">
        <v>0</v>
      </c>
      <c r="T97" t="n">
        <v>0</v>
      </c>
      <c r="U97" s="2" t="inlineStr"/>
    </row>
    <row r="98" ht="15" customHeight="1">
      <c r="A98" t="inlineStr">
        <is>
          <t>A 10717-2024</t>
        </is>
      </c>
      <c r="B98" t="inlineStr">
        <is>
          <t>avverkningsanmälan</t>
        </is>
      </c>
      <c r="C98" t="inlineStr">
        <is>
          <t>Föryngringsavverkning</t>
        </is>
      </c>
      <c r="D98" s="1" t="n">
        <v>45369</v>
      </c>
      <c r="E98" s="1" t="n">
        <v>46218</v>
      </c>
      <c r="F98" t="inlineStr">
        <is>
          <t>DALARNAS LÄN</t>
        </is>
      </c>
      <c r="G98" t="inlineStr">
        <is>
          <t>GAGNEF</t>
        </is>
      </c>
      <c r="I98" t="n">
        <v>0.7</v>
      </c>
      <c r="J98" t="n">
        <v>0</v>
      </c>
      <c r="K98" t="n">
        <v>0</v>
      </c>
      <c r="L98" t="n">
        <v>0</v>
      </c>
      <c r="M98" t="n">
        <v>0</v>
      </c>
      <c r="N98" t="n">
        <v>0</v>
      </c>
      <c r="O98" t="n">
        <v>0</v>
      </c>
      <c r="P98" t="n">
        <v>0</v>
      </c>
      <c r="Q98" t="n">
        <v>0</v>
      </c>
      <c r="R98" t="n">
        <v>0</v>
      </c>
      <c r="S98" t="n">
        <v>0</v>
      </c>
      <c r="T98" t="n">
        <v>0</v>
      </c>
      <c r="U98" s="2" t="inlineStr"/>
    </row>
    <row r="99" ht="15" customHeight="1">
      <c r="A99" t="inlineStr">
        <is>
          <t>A 26622-2023</t>
        </is>
      </c>
      <c r="B99" t="inlineStr">
        <is>
          <t>avverkningsanmälan</t>
        </is>
      </c>
      <c r="C99" t="inlineStr">
        <is>
          <t>Avverkning för att bevara och utveckla /försöksver</t>
        </is>
      </c>
      <c r="D99" s="1" t="n">
        <v>45092</v>
      </c>
      <c r="E99" s="1" t="n">
        <v>46218</v>
      </c>
      <c r="F99" t="inlineStr">
        <is>
          <t>DALARNAS LÄN</t>
        </is>
      </c>
      <c r="G99" t="inlineStr">
        <is>
          <t>GAGNEF</t>
        </is>
      </c>
      <c r="H99" t="inlineStr">
        <is>
          <t>Bergvik skog väst AB</t>
        </is>
      </c>
      <c r="I99" t="n">
        <v>10.5</v>
      </c>
      <c r="J99" t="n">
        <v>0</v>
      </c>
      <c r="K99" t="n">
        <v>0</v>
      </c>
      <c r="L99" t="n">
        <v>0</v>
      </c>
      <c r="M99" t="n">
        <v>0</v>
      </c>
      <c r="N99" t="n">
        <v>0</v>
      </c>
      <c r="O99" t="n">
        <v>0</v>
      </c>
      <c r="P99" t="n">
        <v>0</v>
      </c>
      <c r="Q99" t="n">
        <v>0</v>
      </c>
      <c r="R99" t="n">
        <v>0</v>
      </c>
      <c r="S99" t="n">
        <v>0</v>
      </c>
      <c r="T99" t="n">
        <v>0</v>
      </c>
      <c r="U99" s="2" t="inlineStr"/>
    </row>
    <row r="100" ht="15" customHeight="1">
      <c r="A100" t="inlineStr">
        <is>
          <t>A 16409-2022</t>
        </is>
      </c>
      <c r="B100" t="inlineStr">
        <is>
          <t>avverkningsanmälan</t>
        </is>
      </c>
      <c r="C100" t="inlineStr">
        <is>
          <t>Föryngringsavverkning</t>
        </is>
      </c>
      <c r="D100" s="1" t="n">
        <v>44671</v>
      </c>
      <c r="E100" s="1" t="n">
        <v>46218</v>
      </c>
      <c r="F100" t="inlineStr">
        <is>
          <t>DALARNAS LÄN</t>
        </is>
      </c>
      <c r="G100" t="inlineStr">
        <is>
          <t>GAGNEF</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28559-2024</t>
        </is>
      </c>
      <c r="B101" t="inlineStr">
        <is>
          <t>avverkningsanmälan</t>
        </is>
      </c>
      <c r="C101" t="inlineStr">
        <is>
          <t>Föryngringsavverkning</t>
        </is>
      </c>
      <c r="D101" s="1" t="n">
        <v>45478</v>
      </c>
      <c r="E101" s="1" t="n">
        <v>46218</v>
      </c>
      <c r="F101" t="inlineStr">
        <is>
          <t>DALARNAS LÄN</t>
        </is>
      </c>
      <c r="G101" t="inlineStr">
        <is>
          <t>GAGNEF</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4374-2024</t>
        </is>
      </c>
      <c r="B102" t="inlineStr">
        <is>
          <t>avverkningsanmälan</t>
        </is>
      </c>
      <c r="C102" t="inlineStr">
        <is>
          <t>Föryngringsavverkning</t>
        </is>
      </c>
      <c r="D102" s="1" t="n">
        <v>45326</v>
      </c>
      <c r="E102" s="1" t="n">
        <v>46218</v>
      </c>
      <c r="F102" t="inlineStr">
        <is>
          <t>DALARNAS LÄN</t>
        </is>
      </c>
      <c r="G102" t="inlineStr">
        <is>
          <t>GAGNEF</t>
        </is>
      </c>
      <c r="I102" t="n">
        <v>3.5</v>
      </c>
      <c r="J102" t="n">
        <v>0</v>
      </c>
      <c r="K102" t="n">
        <v>0</v>
      </c>
      <c r="L102" t="n">
        <v>0</v>
      </c>
      <c r="M102" t="n">
        <v>0</v>
      </c>
      <c r="N102" t="n">
        <v>0</v>
      </c>
      <c r="O102" t="n">
        <v>0</v>
      </c>
      <c r="P102" t="n">
        <v>0</v>
      </c>
      <c r="Q102" t="n">
        <v>0</v>
      </c>
      <c r="R102" t="n">
        <v>0</v>
      </c>
      <c r="S102" t="n">
        <v>0</v>
      </c>
      <c r="T102" t="n">
        <v>0</v>
      </c>
      <c r="U102" s="2" t="inlineStr"/>
    </row>
    <row r="103" ht="15" customHeight="1">
      <c r="A103" t="inlineStr">
        <is>
          <t>A 322-2024</t>
        </is>
      </c>
      <c r="B103" t="inlineStr">
        <is>
          <t>avverkningsanmälan</t>
        </is>
      </c>
      <c r="C103" t="inlineStr">
        <is>
          <t>Föryngringsavverkning</t>
        </is>
      </c>
      <c r="D103" s="1" t="n">
        <v>45295</v>
      </c>
      <c r="E103" s="1" t="n">
        <v>46218</v>
      </c>
      <c r="F103" t="inlineStr">
        <is>
          <t>DALARNAS LÄN</t>
        </is>
      </c>
      <c r="G103" t="inlineStr">
        <is>
          <t>GAGNEF</t>
        </is>
      </c>
      <c r="I103" t="n">
        <v>11.1</v>
      </c>
      <c r="J103" t="n">
        <v>0</v>
      </c>
      <c r="K103" t="n">
        <v>0</v>
      </c>
      <c r="L103" t="n">
        <v>0</v>
      </c>
      <c r="M103" t="n">
        <v>0</v>
      </c>
      <c r="N103" t="n">
        <v>0</v>
      </c>
      <c r="O103" t="n">
        <v>0</v>
      </c>
      <c r="P103" t="n">
        <v>0</v>
      </c>
      <c r="Q103" t="n">
        <v>0</v>
      </c>
      <c r="R103" t="n">
        <v>0</v>
      </c>
      <c r="S103" t="n">
        <v>0</v>
      </c>
      <c r="T103" t="n">
        <v>0</v>
      </c>
      <c r="U103" s="2" t="inlineStr"/>
    </row>
    <row r="104" ht="15" customHeight="1">
      <c r="A104" t="inlineStr">
        <is>
          <t>A 11680-2022</t>
        </is>
      </c>
      <c r="B104" t="inlineStr">
        <is>
          <t>avverkningsanmälan</t>
        </is>
      </c>
      <c r="C104" t="inlineStr">
        <is>
          <t>Föryngringsavverkning</t>
        </is>
      </c>
      <c r="D104" s="1" t="n">
        <v>44634</v>
      </c>
      <c r="E104" s="1" t="n">
        <v>46218</v>
      </c>
      <c r="F104" t="inlineStr">
        <is>
          <t>DALARNAS LÄN</t>
        </is>
      </c>
      <c r="G104" t="inlineStr">
        <is>
          <t>GAGNEF</t>
        </is>
      </c>
      <c r="I104" t="n">
        <v>7.8</v>
      </c>
      <c r="J104" t="n">
        <v>0</v>
      </c>
      <c r="K104" t="n">
        <v>0</v>
      </c>
      <c r="L104" t="n">
        <v>0</v>
      </c>
      <c r="M104" t="n">
        <v>0</v>
      </c>
      <c r="N104" t="n">
        <v>0</v>
      </c>
      <c r="O104" t="n">
        <v>0</v>
      </c>
      <c r="P104" t="n">
        <v>0</v>
      </c>
      <c r="Q104" t="n">
        <v>0</v>
      </c>
      <c r="R104" t="n">
        <v>0</v>
      </c>
      <c r="S104" t="n">
        <v>0</v>
      </c>
      <c r="T104" t="n">
        <v>0</v>
      </c>
      <c r="U104" s="2" t="inlineStr"/>
    </row>
    <row r="105" ht="15" customHeight="1">
      <c r="A105" t="inlineStr">
        <is>
          <t>A 30957-2023</t>
        </is>
      </c>
      <c r="B105" t="inlineStr">
        <is>
          <t>avverkningsanmälan</t>
        </is>
      </c>
      <c r="C105" t="inlineStr">
        <is>
          <t>Avverkning för annat ändamål</t>
        </is>
      </c>
      <c r="D105" s="1" t="n">
        <v>45113</v>
      </c>
      <c r="E105" s="1" t="n">
        <v>46218</v>
      </c>
      <c r="F105" t="inlineStr">
        <is>
          <t>DALARNAS LÄN</t>
        </is>
      </c>
      <c r="G105" t="inlineStr">
        <is>
          <t>GAGNEF</t>
        </is>
      </c>
      <c r="H105" t="inlineStr">
        <is>
          <t>Bergvik skog väst AB</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45497-2025</t>
        </is>
      </c>
      <c r="B106" t="inlineStr">
        <is>
          <t>avverkningsanmälan</t>
        </is>
      </c>
      <c r="C106" t="inlineStr">
        <is>
          <t>Föryngringsavverkning</t>
        </is>
      </c>
      <c r="D106" s="1" t="n">
        <v>45922</v>
      </c>
      <c r="E106" s="1" t="n">
        <v>46218</v>
      </c>
      <c r="F106" t="inlineStr">
        <is>
          <t>DALARNAS LÄN</t>
        </is>
      </c>
      <c r="G106" t="inlineStr">
        <is>
          <t>GAGNEF</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45989-2025</t>
        </is>
      </c>
      <c r="B107" t="inlineStr">
        <is>
          <t>avverkningsanmälan</t>
        </is>
      </c>
      <c r="C107" t="inlineStr">
        <is>
          <t>Föryngringsavverkning</t>
        </is>
      </c>
      <c r="D107" s="1" t="n">
        <v>45924</v>
      </c>
      <c r="E107" s="1" t="n">
        <v>46218</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s="2" t="inlineStr"/>
    </row>
    <row r="108" ht="15" customHeight="1">
      <c r="A108" t="inlineStr">
        <is>
          <t>A 48645-2021</t>
        </is>
      </c>
      <c r="B108" t="inlineStr">
        <is>
          <t>avverkningsanmälan</t>
        </is>
      </c>
      <c r="C108" t="inlineStr">
        <is>
          <t>Föryngringsavverkning</t>
        </is>
      </c>
      <c r="D108" s="1" t="n">
        <v>44452</v>
      </c>
      <c r="E108" s="1" t="n">
        <v>46218</v>
      </c>
      <c r="F108" t="inlineStr">
        <is>
          <t>DALARNAS LÄN</t>
        </is>
      </c>
      <c r="G108" t="inlineStr">
        <is>
          <t>GAGNEF</t>
        </is>
      </c>
      <c r="I108" t="n">
        <v>1.3</v>
      </c>
      <c r="J108" t="n">
        <v>0</v>
      </c>
      <c r="K108" t="n">
        <v>0</v>
      </c>
      <c r="L108" t="n">
        <v>0</v>
      </c>
      <c r="M108" t="n">
        <v>0</v>
      </c>
      <c r="N108" t="n">
        <v>0</v>
      </c>
      <c r="O108" t="n">
        <v>0</v>
      </c>
      <c r="P108" t="n">
        <v>0</v>
      </c>
      <c r="Q108" t="n">
        <v>0</v>
      </c>
      <c r="R108" t="n">
        <v>0</v>
      </c>
      <c r="S108" t="n">
        <v>0</v>
      </c>
      <c r="T108" t="n">
        <v>0</v>
      </c>
      <c r="U108" s="2" t="inlineStr"/>
    </row>
    <row r="109" ht="15" customHeight="1">
      <c r="A109" t="inlineStr">
        <is>
          <t>A 55392-2022</t>
        </is>
      </c>
      <c r="B109" t="inlineStr">
        <is>
          <t>avverkningsanmälan</t>
        </is>
      </c>
      <c r="C109" t="inlineStr">
        <is>
          <t>Föryngringsavverkning</t>
        </is>
      </c>
      <c r="D109" s="1" t="n">
        <v>44887</v>
      </c>
      <c r="E109" s="1" t="n">
        <v>46218</v>
      </c>
      <c r="F109" t="inlineStr">
        <is>
          <t>DALARNAS LÄN</t>
        </is>
      </c>
      <c r="G109" t="inlineStr">
        <is>
          <t>GAGNEF</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15629-2022</t>
        </is>
      </c>
      <c r="B110" t="inlineStr">
        <is>
          <t>avverkningsanmälan</t>
        </is>
      </c>
      <c r="C110" t="inlineStr">
        <is>
          <t>Föryngringsavverkning</t>
        </is>
      </c>
      <c r="D110" s="1" t="n">
        <v>44662</v>
      </c>
      <c r="E110" s="1" t="n">
        <v>46218</v>
      </c>
      <c r="F110" t="inlineStr">
        <is>
          <t>DALARNAS LÄN</t>
        </is>
      </c>
      <c r="G110" t="inlineStr">
        <is>
          <t>GAGNEF</t>
        </is>
      </c>
      <c r="I110" t="n">
        <v>2.8</v>
      </c>
      <c r="J110" t="n">
        <v>0</v>
      </c>
      <c r="K110" t="n">
        <v>0</v>
      </c>
      <c r="L110" t="n">
        <v>0</v>
      </c>
      <c r="M110" t="n">
        <v>0</v>
      </c>
      <c r="N110" t="n">
        <v>0</v>
      </c>
      <c r="O110" t="n">
        <v>0</v>
      </c>
      <c r="P110" t="n">
        <v>0</v>
      </c>
      <c r="Q110" t="n">
        <v>0</v>
      </c>
      <c r="R110" t="n">
        <v>0</v>
      </c>
      <c r="S110" t="n">
        <v>0</v>
      </c>
      <c r="T110" t="n">
        <v>0</v>
      </c>
      <c r="U110" s="2" t="inlineStr"/>
    </row>
    <row r="111" ht="15" customHeight="1">
      <c r="A111" t="inlineStr">
        <is>
          <t>A 19197-2023</t>
        </is>
      </c>
      <c r="B111" t="inlineStr">
        <is>
          <t>avverkningsanmälan</t>
        </is>
      </c>
      <c r="C111" t="inlineStr">
        <is>
          <t>Föryngringsavverkning</t>
        </is>
      </c>
      <c r="D111" s="1" t="n">
        <v>45048</v>
      </c>
      <c r="E111" s="1" t="n">
        <v>46218</v>
      </c>
      <c r="F111" t="inlineStr">
        <is>
          <t>DALARNAS LÄN</t>
        </is>
      </c>
      <c r="G111" t="inlineStr">
        <is>
          <t>GAGNEF</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47560-2025</t>
        </is>
      </c>
      <c r="B112" t="inlineStr">
        <is>
          <t>avverkningsanmälan</t>
        </is>
      </c>
      <c r="C112" t="inlineStr">
        <is>
          <t>Föryngringsavverkning</t>
        </is>
      </c>
      <c r="D112" s="1" t="n">
        <v>45931</v>
      </c>
      <c r="E112" s="1" t="n">
        <v>46218</v>
      </c>
      <c r="F112" t="inlineStr">
        <is>
          <t>DALARNAS LÄN</t>
        </is>
      </c>
      <c r="G112" t="inlineStr">
        <is>
          <t>GAGNEF</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47685-2025</t>
        </is>
      </c>
      <c r="B113" t="inlineStr">
        <is>
          <t>avverkningsanmälan</t>
        </is>
      </c>
      <c r="C113" t="inlineStr">
        <is>
          <t>Föryngringsavverkning</t>
        </is>
      </c>
      <c r="D113" s="1" t="n">
        <v>45931</v>
      </c>
      <c r="E113" s="1" t="n">
        <v>46218</v>
      </c>
      <c r="F113" t="inlineStr">
        <is>
          <t>DALARNAS LÄN</t>
        </is>
      </c>
      <c r="G113" t="inlineStr">
        <is>
          <t>GAGNEF</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51496-2023</t>
        </is>
      </c>
      <c r="B114" t="inlineStr">
        <is>
          <t>avverkningsanmälan</t>
        </is>
      </c>
      <c r="C114" t="inlineStr">
        <is>
          <t>Föryngringsavverkning</t>
        </is>
      </c>
      <c r="D114" s="1" t="n">
        <v>45222</v>
      </c>
      <c r="E114" s="1" t="n">
        <v>46218</v>
      </c>
      <c r="F114" t="inlineStr">
        <is>
          <t>DALARNAS LÄN</t>
        </is>
      </c>
      <c r="G114" t="inlineStr">
        <is>
          <t>GAGNEF</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15684-2024</t>
        </is>
      </c>
      <c r="B115" t="inlineStr">
        <is>
          <t>avverkningsanmälan</t>
        </is>
      </c>
      <c r="C115" t="inlineStr">
        <is>
          <t>Föryngringsavverkning</t>
        </is>
      </c>
      <c r="D115" s="1" t="n">
        <v>45404</v>
      </c>
      <c r="E115" s="1" t="n">
        <v>46218</v>
      </c>
      <c r="F115" t="inlineStr">
        <is>
          <t>DALARNAS LÄN</t>
        </is>
      </c>
      <c r="G115" t="inlineStr">
        <is>
          <t>GAGNEF</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47669-2025</t>
        </is>
      </c>
      <c r="B116" t="inlineStr">
        <is>
          <t>avverkningsanmälan</t>
        </is>
      </c>
      <c r="C116" t="inlineStr">
        <is>
          <t>Föryngringsavverkning</t>
        </is>
      </c>
      <c r="D116" s="1" t="n">
        <v>45931</v>
      </c>
      <c r="E116" s="1" t="n">
        <v>46218</v>
      </c>
      <c r="F116" t="inlineStr">
        <is>
          <t>DALARNAS LÄN</t>
        </is>
      </c>
      <c r="G116" t="inlineStr">
        <is>
          <t>GAGNEF</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60885-2024</t>
        </is>
      </c>
      <c r="B117" t="inlineStr">
        <is>
          <t>avverkningsanmälan</t>
        </is>
      </c>
      <c r="C117" t="inlineStr">
        <is>
          <t>Avverkning för annat ändamål</t>
        </is>
      </c>
      <c r="D117" s="1" t="n">
        <v>45644</v>
      </c>
      <c r="E117" s="1" t="n">
        <v>46218</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20482-2024</t>
        </is>
      </c>
      <c r="B118" t="inlineStr">
        <is>
          <t>avverkningsanmälan</t>
        </is>
      </c>
      <c r="C118" t="inlineStr">
        <is>
          <t>Avverkning för att bevara och utveckla /försöksver</t>
        </is>
      </c>
      <c r="D118" s="1" t="n">
        <v>45435</v>
      </c>
      <c r="E118" s="1" t="n">
        <v>46218</v>
      </c>
      <c r="F118" t="inlineStr">
        <is>
          <t>DALARNAS LÄN</t>
        </is>
      </c>
      <c r="G118" t="inlineStr">
        <is>
          <t>GAGNEF</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51151-2023</t>
        </is>
      </c>
      <c r="B119" t="inlineStr">
        <is>
          <t>avverkningsanmälan</t>
        </is>
      </c>
      <c r="C119" t="inlineStr">
        <is>
          <t>Avverkning för att bevara och utveckla /försöksver</t>
        </is>
      </c>
      <c r="D119" s="1" t="n">
        <v>45219</v>
      </c>
      <c r="E119" s="1" t="n">
        <v>46218</v>
      </c>
      <c r="F119" t="inlineStr">
        <is>
          <t>DALARNAS LÄN</t>
        </is>
      </c>
      <c r="G119" t="inlineStr">
        <is>
          <t>GAGNEF</t>
        </is>
      </c>
      <c r="I119" t="n">
        <v>3.1</v>
      </c>
      <c r="J119" t="n">
        <v>0</v>
      </c>
      <c r="K119" t="n">
        <v>0</v>
      </c>
      <c r="L119" t="n">
        <v>0</v>
      </c>
      <c r="M119" t="n">
        <v>0</v>
      </c>
      <c r="N119" t="n">
        <v>0</v>
      </c>
      <c r="O119" t="n">
        <v>0</v>
      </c>
      <c r="P119" t="n">
        <v>0</v>
      </c>
      <c r="Q119" t="n">
        <v>0</v>
      </c>
      <c r="R119" t="n">
        <v>0</v>
      </c>
      <c r="S119" t="n">
        <v>0</v>
      </c>
      <c r="T119" t="n">
        <v>0</v>
      </c>
      <c r="U119" s="2" t="inlineStr"/>
    </row>
    <row r="120" ht="15" customHeight="1">
      <c r="A120" t="inlineStr">
        <is>
          <t>A 17321-2024</t>
        </is>
      </c>
      <c r="B120" t="inlineStr">
        <is>
          <t>avverkningsanmälan</t>
        </is>
      </c>
      <c r="C120" t="inlineStr">
        <is>
          <t>Föryngringsavverkning</t>
        </is>
      </c>
      <c r="D120" s="1" t="n">
        <v>45414</v>
      </c>
      <c r="E120" s="1" t="n">
        <v>46218</v>
      </c>
      <c r="F120" t="inlineStr">
        <is>
          <t>DALARNAS LÄN</t>
        </is>
      </c>
      <c r="G120" t="inlineStr">
        <is>
          <t>GAGNEF</t>
        </is>
      </c>
      <c r="I120" t="n">
        <v>3.5</v>
      </c>
      <c r="J120" t="n">
        <v>0</v>
      </c>
      <c r="K120" t="n">
        <v>0</v>
      </c>
      <c r="L120" t="n">
        <v>0</v>
      </c>
      <c r="M120" t="n">
        <v>0</v>
      </c>
      <c r="N120" t="n">
        <v>0</v>
      </c>
      <c r="O120" t="n">
        <v>0</v>
      </c>
      <c r="P120" t="n">
        <v>0</v>
      </c>
      <c r="Q120" t="n">
        <v>0</v>
      </c>
      <c r="R120" t="n">
        <v>0</v>
      </c>
      <c r="S120" t="n">
        <v>0</v>
      </c>
      <c r="T120" t="n">
        <v>0</v>
      </c>
      <c r="U120" s="2" t="inlineStr"/>
    </row>
    <row r="121" ht="15" customHeight="1">
      <c r="A121" t="inlineStr">
        <is>
          <t>A 43915-2024</t>
        </is>
      </c>
      <c r="B121" t="inlineStr">
        <is>
          <t>avverkningsanmälan</t>
        </is>
      </c>
      <c r="C121" t="inlineStr">
        <is>
          <t>Föryngringsavverkning</t>
        </is>
      </c>
      <c r="D121" s="1" t="n">
        <v>45572</v>
      </c>
      <c r="E121" s="1" t="n">
        <v>46218</v>
      </c>
      <c r="F121" t="inlineStr">
        <is>
          <t>DALARNAS LÄN</t>
        </is>
      </c>
      <c r="G121" t="inlineStr">
        <is>
          <t>GAGNEF</t>
        </is>
      </c>
      <c r="I121" t="n">
        <v>3.5</v>
      </c>
      <c r="J121" t="n">
        <v>0</v>
      </c>
      <c r="K121" t="n">
        <v>0</v>
      </c>
      <c r="L121" t="n">
        <v>0</v>
      </c>
      <c r="M121" t="n">
        <v>0</v>
      </c>
      <c r="N121" t="n">
        <v>0</v>
      </c>
      <c r="O121" t="n">
        <v>0</v>
      </c>
      <c r="P121" t="n">
        <v>0</v>
      </c>
      <c r="Q121" t="n">
        <v>0</v>
      </c>
      <c r="R121" t="n">
        <v>0</v>
      </c>
      <c r="S121" t="n">
        <v>0</v>
      </c>
      <c r="T121" t="n">
        <v>0</v>
      </c>
      <c r="U121" s="2" t="inlineStr"/>
    </row>
    <row r="122" ht="15" customHeight="1">
      <c r="A122" t="inlineStr">
        <is>
          <t>A 9616-2024</t>
        </is>
      </c>
      <c r="B122" t="inlineStr">
        <is>
          <t>avverkningsanmälan</t>
        </is>
      </c>
      <c r="C122" t="inlineStr">
        <is>
          <t>Föryngringsavverkning</t>
        </is>
      </c>
      <c r="D122" s="1" t="n">
        <v>45361</v>
      </c>
      <c r="E122" s="1" t="n">
        <v>46218</v>
      </c>
      <c r="F122" t="inlineStr">
        <is>
          <t>DALARNAS LÄN</t>
        </is>
      </c>
      <c r="G122" t="inlineStr">
        <is>
          <t>GAGNEF</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63203-2023</t>
        </is>
      </c>
      <c r="B123" t="inlineStr">
        <is>
          <t>avverkningsanmälan</t>
        </is>
      </c>
      <c r="C123" t="inlineStr">
        <is>
          <t>Föryngringsavverkning</t>
        </is>
      </c>
      <c r="D123" s="1" t="n">
        <v>45273</v>
      </c>
      <c r="E123" s="1" t="n">
        <v>46218</v>
      </c>
      <c r="F123" t="inlineStr">
        <is>
          <t>DALARNAS LÄN</t>
        </is>
      </c>
      <c r="G123" t="inlineStr">
        <is>
          <t>GAGNEF</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43911-2024</t>
        </is>
      </c>
      <c r="B124" t="inlineStr">
        <is>
          <t>avverkningsanmälan</t>
        </is>
      </c>
      <c r="C124" t="inlineStr">
        <is>
          <t>Föryngringsavverkning</t>
        </is>
      </c>
      <c r="D124" s="1" t="n">
        <v>45572</v>
      </c>
      <c r="E124" s="1" t="n">
        <v>46218</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43913-2024</t>
        </is>
      </c>
      <c r="B125" t="inlineStr">
        <is>
          <t>avverkningsanmälan</t>
        </is>
      </c>
      <c r="C125" t="inlineStr">
        <is>
          <t>Föryngringsavverkning</t>
        </is>
      </c>
      <c r="D125" s="1" t="n">
        <v>45572</v>
      </c>
      <c r="E125" s="1" t="n">
        <v>46218</v>
      </c>
      <c r="F125" t="inlineStr">
        <is>
          <t>DALARNAS LÄN</t>
        </is>
      </c>
      <c r="G125" t="inlineStr">
        <is>
          <t>GAGNEF</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49226-2025</t>
        </is>
      </c>
      <c r="B126" t="inlineStr">
        <is>
          <t>avverkningsanmälan</t>
        </is>
      </c>
      <c r="C126" t="inlineStr">
        <is>
          <t>Föryngringsavverkning</t>
        </is>
      </c>
      <c r="D126" s="1" t="n">
        <v>45938</v>
      </c>
      <c r="E126" s="1" t="n">
        <v>46218</v>
      </c>
      <c r="F126" t="inlineStr">
        <is>
          <t>DALARNAS LÄN</t>
        </is>
      </c>
      <c r="G126" t="inlineStr">
        <is>
          <t>GAGNEF</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42596-2021</t>
        </is>
      </c>
      <c r="B127" t="inlineStr">
        <is>
          <t>avverkningsanmälan</t>
        </is>
      </c>
      <c r="C127" t="inlineStr">
        <is>
          <t>Föryngringsavverkning</t>
        </is>
      </c>
      <c r="D127" s="1" t="n">
        <v>44428</v>
      </c>
      <c r="E127" s="1" t="n">
        <v>46218</v>
      </c>
      <c r="F127" t="inlineStr">
        <is>
          <t>DALARNAS LÄN</t>
        </is>
      </c>
      <c r="G127" t="inlineStr">
        <is>
          <t>GAGNEF</t>
        </is>
      </c>
      <c r="I127" t="n">
        <v>1.7</v>
      </c>
      <c r="J127" t="n">
        <v>0</v>
      </c>
      <c r="K127" t="n">
        <v>0</v>
      </c>
      <c r="L127" t="n">
        <v>0</v>
      </c>
      <c r="M127" t="n">
        <v>0</v>
      </c>
      <c r="N127" t="n">
        <v>0</v>
      </c>
      <c r="O127" t="n">
        <v>0</v>
      </c>
      <c r="P127" t="n">
        <v>0</v>
      </c>
      <c r="Q127" t="n">
        <v>0</v>
      </c>
      <c r="R127" t="n">
        <v>0</v>
      </c>
      <c r="S127" t="n">
        <v>0</v>
      </c>
      <c r="T127" t="n">
        <v>0</v>
      </c>
      <c r="U127" s="2" t="inlineStr"/>
    </row>
    <row r="128" ht="15" customHeight="1">
      <c r="A128" t="inlineStr">
        <is>
          <t>A 49229-2025</t>
        </is>
      </c>
      <c r="B128" t="inlineStr">
        <is>
          <t>avverkningsanmälan</t>
        </is>
      </c>
      <c r="C128" t="inlineStr">
        <is>
          <t>Föryngringsavverkning</t>
        </is>
      </c>
      <c r="D128" s="1" t="n">
        <v>45938</v>
      </c>
      <c r="E128" s="1" t="n">
        <v>46218</v>
      </c>
      <c r="F128" t="inlineStr">
        <is>
          <t>DALARNAS LÄN</t>
        </is>
      </c>
      <c r="G128" t="inlineStr">
        <is>
          <t>GAGNEF</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48957-2025</t>
        </is>
      </c>
      <c r="B129" t="inlineStr">
        <is>
          <t>avverkningsanmälan</t>
        </is>
      </c>
      <c r="C129" t="inlineStr">
        <is>
          <t>Föryngringsavverkning</t>
        </is>
      </c>
      <c r="D129" s="1" t="n">
        <v>45937</v>
      </c>
      <c r="E129" s="1" t="n">
        <v>46218</v>
      </c>
      <c r="F129" t="inlineStr">
        <is>
          <t>DALARNAS LÄN</t>
        </is>
      </c>
      <c r="G129" t="inlineStr">
        <is>
          <t>GAGNEF</t>
        </is>
      </c>
      <c r="I129" t="n">
        <v>18</v>
      </c>
      <c r="J129" t="n">
        <v>0</v>
      </c>
      <c r="K129" t="n">
        <v>0</v>
      </c>
      <c r="L129" t="n">
        <v>0</v>
      </c>
      <c r="M129" t="n">
        <v>0</v>
      </c>
      <c r="N129" t="n">
        <v>0</v>
      </c>
      <c r="O129" t="n">
        <v>0</v>
      </c>
      <c r="P129" t="n">
        <v>0</v>
      </c>
      <c r="Q129" t="n">
        <v>0</v>
      </c>
      <c r="R129" t="n">
        <v>0</v>
      </c>
      <c r="S129" t="n">
        <v>0</v>
      </c>
      <c r="T129" t="n">
        <v>0</v>
      </c>
      <c r="U129" s="2" t="inlineStr"/>
    </row>
    <row r="130" ht="15" customHeight="1">
      <c r="A130" t="inlineStr">
        <is>
          <t>A 19344-2025</t>
        </is>
      </c>
      <c r="B130" t="inlineStr">
        <is>
          <t>avverkningsanmälan</t>
        </is>
      </c>
      <c r="C130" t="inlineStr">
        <is>
          <t>Föryngringsavverkning</t>
        </is>
      </c>
      <c r="D130" s="1" t="n">
        <v>45769</v>
      </c>
      <c r="E130" s="1" t="n">
        <v>46218</v>
      </c>
      <c r="F130" t="inlineStr">
        <is>
          <t>DALARNAS LÄN</t>
        </is>
      </c>
      <c r="G130" t="inlineStr">
        <is>
          <t>GAGNEF</t>
        </is>
      </c>
      <c r="I130" t="n">
        <v>3.4</v>
      </c>
      <c r="J130" t="n">
        <v>0</v>
      </c>
      <c r="K130" t="n">
        <v>0</v>
      </c>
      <c r="L130" t="n">
        <v>0</v>
      </c>
      <c r="M130" t="n">
        <v>0</v>
      </c>
      <c r="N130" t="n">
        <v>0</v>
      </c>
      <c r="O130" t="n">
        <v>0</v>
      </c>
      <c r="P130" t="n">
        <v>0</v>
      </c>
      <c r="Q130" t="n">
        <v>0</v>
      </c>
      <c r="R130" t="n">
        <v>0</v>
      </c>
      <c r="S130" t="n">
        <v>0</v>
      </c>
      <c r="T130" t="n">
        <v>0</v>
      </c>
      <c r="U130" s="2" t="inlineStr"/>
    </row>
    <row r="131" ht="15" customHeight="1">
      <c r="A131" t="inlineStr">
        <is>
          <t>A 47054-2025</t>
        </is>
      </c>
      <c r="B131" t="inlineStr">
        <is>
          <t>avverkningsanmälan</t>
        </is>
      </c>
      <c r="C131" t="inlineStr">
        <is>
          <t>Föryngringsavverkning</t>
        </is>
      </c>
      <c r="D131" s="1" t="n">
        <v>45929</v>
      </c>
      <c r="E131" s="1" t="n">
        <v>46218</v>
      </c>
      <c r="F131" t="inlineStr">
        <is>
          <t>DALARNAS LÄN</t>
        </is>
      </c>
      <c r="G131" t="inlineStr">
        <is>
          <t>GAGNEF</t>
        </is>
      </c>
      <c r="H131" t="inlineStr">
        <is>
          <t>Bergvik skog väst AB</t>
        </is>
      </c>
      <c r="I131" t="n">
        <v>17.1</v>
      </c>
      <c r="J131" t="n">
        <v>0</v>
      </c>
      <c r="K131" t="n">
        <v>0</v>
      </c>
      <c r="L131" t="n">
        <v>0</v>
      </c>
      <c r="M131" t="n">
        <v>0</v>
      </c>
      <c r="N131" t="n">
        <v>0</v>
      </c>
      <c r="O131" t="n">
        <v>0</v>
      </c>
      <c r="P131" t="n">
        <v>0</v>
      </c>
      <c r="Q131" t="n">
        <v>0</v>
      </c>
      <c r="R131" t="n">
        <v>0</v>
      </c>
      <c r="S131" t="n">
        <v>0</v>
      </c>
      <c r="T131" t="n">
        <v>0</v>
      </c>
      <c r="U131" s="2" t="inlineStr"/>
    </row>
    <row r="132" ht="15" customHeight="1">
      <c r="A132" t="inlineStr">
        <is>
          <t>A 19033-2024</t>
        </is>
      </c>
      <c r="B132" t="inlineStr">
        <is>
          <t>avverkningsanmälan</t>
        </is>
      </c>
      <c r="C132" t="inlineStr">
        <is>
          <t>Föryngringsavverkning</t>
        </is>
      </c>
      <c r="D132" s="1" t="n">
        <v>45427</v>
      </c>
      <c r="E132" s="1" t="n">
        <v>46218</v>
      </c>
      <c r="F132" t="inlineStr">
        <is>
          <t>DALARNAS LÄN</t>
        </is>
      </c>
      <c r="G132" t="inlineStr">
        <is>
          <t>GAGNEF</t>
        </is>
      </c>
      <c r="I132" t="n">
        <v>7.2</v>
      </c>
      <c r="J132" t="n">
        <v>0</v>
      </c>
      <c r="K132" t="n">
        <v>0</v>
      </c>
      <c r="L132" t="n">
        <v>0</v>
      </c>
      <c r="M132" t="n">
        <v>0</v>
      </c>
      <c r="N132" t="n">
        <v>0</v>
      </c>
      <c r="O132" t="n">
        <v>0</v>
      </c>
      <c r="P132" t="n">
        <v>0</v>
      </c>
      <c r="Q132" t="n">
        <v>0</v>
      </c>
      <c r="R132" t="n">
        <v>0</v>
      </c>
      <c r="S132" t="n">
        <v>0</v>
      </c>
      <c r="T132" t="n">
        <v>0</v>
      </c>
      <c r="U132" s="2" t="inlineStr"/>
    </row>
    <row r="133" ht="15" customHeight="1">
      <c r="A133" t="inlineStr">
        <is>
          <t>A 49961-2025</t>
        </is>
      </c>
      <c r="B133" t="inlineStr">
        <is>
          <t>avverkningsanmälan</t>
        </is>
      </c>
      <c r="C133" t="inlineStr">
        <is>
          <t>Föryngringsavverkning</t>
        </is>
      </c>
      <c r="D133" s="1" t="n">
        <v>45941</v>
      </c>
      <c r="E133" s="1" t="n">
        <v>46218</v>
      </c>
      <c r="F133" t="inlineStr">
        <is>
          <t>DALARNAS LÄN</t>
        </is>
      </c>
      <c r="G133" t="inlineStr">
        <is>
          <t>GAGNEF</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49962-2025</t>
        </is>
      </c>
      <c r="B134" t="inlineStr">
        <is>
          <t>avverkningsanmälan</t>
        </is>
      </c>
      <c r="C134" t="inlineStr">
        <is>
          <t>Föryngringsavverkning</t>
        </is>
      </c>
      <c r="D134" s="1" t="n">
        <v>45941</v>
      </c>
      <c r="E134" s="1" t="n">
        <v>46218</v>
      </c>
      <c r="F134" t="inlineStr">
        <is>
          <t>DALARNAS LÄN</t>
        </is>
      </c>
      <c r="G134" t="inlineStr">
        <is>
          <t>GAGNEF</t>
        </is>
      </c>
      <c r="I134" t="n">
        <v>2.8</v>
      </c>
      <c r="J134" t="n">
        <v>0</v>
      </c>
      <c r="K134" t="n">
        <v>0</v>
      </c>
      <c r="L134" t="n">
        <v>0</v>
      </c>
      <c r="M134" t="n">
        <v>0</v>
      </c>
      <c r="N134" t="n">
        <v>0</v>
      </c>
      <c r="O134" t="n">
        <v>0</v>
      </c>
      <c r="P134" t="n">
        <v>0</v>
      </c>
      <c r="Q134" t="n">
        <v>0</v>
      </c>
      <c r="R134" t="n">
        <v>0</v>
      </c>
      <c r="S134" t="n">
        <v>0</v>
      </c>
      <c r="T134" t="n">
        <v>0</v>
      </c>
      <c r="U134" s="2" t="inlineStr"/>
    </row>
    <row r="135" ht="15" customHeight="1">
      <c r="A135" t="inlineStr">
        <is>
          <t>A 8867-2025</t>
        </is>
      </c>
      <c r="B135" t="inlineStr">
        <is>
          <t>avverkningsanmälan</t>
        </is>
      </c>
      <c r="C135" t="inlineStr">
        <is>
          <t>Föryngringsavverkning</t>
        </is>
      </c>
      <c r="D135" s="1" t="n">
        <v>45713</v>
      </c>
      <c r="E135" s="1" t="n">
        <v>46218</v>
      </c>
      <c r="F135" t="inlineStr">
        <is>
          <t>DALARNAS LÄN</t>
        </is>
      </c>
      <c r="G135" t="inlineStr">
        <is>
          <t>GAGNEF</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5519-2025</t>
        </is>
      </c>
      <c r="B136" t="inlineStr">
        <is>
          <t>avverkningsanmälan</t>
        </is>
      </c>
      <c r="C136" t="inlineStr">
        <is>
          <t>Föryngringsavverkning</t>
        </is>
      </c>
      <c r="D136" s="1" t="n">
        <v>45693</v>
      </c>
      <c r="E136" s="1" t="n">
        <v>46218</v>
      </c>
      <c r="F136" t="inlineStr">
        <is>
          <t>DALARNAS LÄN</t>
        </is>
      </c>
      <c r="G136" t="inlineStr">
        <is>
          <t>GAGNEF</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50536-2024</t>
        </is>
      </c>
      <c r="B137" t="inlineStr">
        <is>
          <t>avverkningsanmälan</t>
        </is>
      </c>
      <c r="C137" t="inlineStr">
        <is>
          <t>Föryngringsavverkning</t>
        </is>
      </c>
      <c r="D137" s="1" t="n">
        <v>45601</v>
      </c>
      <c r="E137" s="1" t="n">
        <v>46218</v>
      </c>
      <c r="F137" t="inlineStr">
        <is>
          <t>DALARNAS LÄN</t>
        </is>
      </c>
      <c r="G137" t="inlineStr">
        <is>
          <t>GAGNEF</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42704-2024</t>
        </is>
      </c>
      <c r="B138" t="inlineStr">
        <is>
          <t>avverkningsanmälan</t>
        </is>
      </c>
      <c r="C138" t="inlineStr">
        <is>
          <t>Föryngringsavverkning</t>
        </is>
      </c>
      <c r="D138" s="1" t="n">
        <v>45566</v>
      </c>
      <c r="E138" s="1" t="n">
        <v>46218</v>
      </c>
      <c r="F138" t="inlineStr">
        <is>
          <t>DALARNAS LÄN</t>
        </is>
      </c>
      <c r="G138" t="inlineStr">
        <is>
          <t>GAGNEF</t>
        </is>
      </c>
      <c r="I138" t="n">
        <v>3.5</v>
      </c>
      <c r="J138" t="n">
        <v>0</v>
      </c>
      <c r="K138" t="n">
        <v>0</v>
      </c>
      <c r="L138" t="n">
        <v>0</v>
      </c>
      <c r="M138" t="n">
        <v>0</v>
      </c>
      <c r="N138" t="n">
        <v>0</v>
      </c>
      <c r="O138" t="n">
        <v>0</v>
      </c>
      <c r="P138" t="n">
        <v>0</v>
      </c>
      <c r="Q138" t="n">
        <v>0</v>
      </c>
      <c r="R138" t="n">
        <v>0</v>
      </c>
      <c r="S138" t="n">
        <v>0</v>
      </c>
      <c r="T138" t="n">
        <v>0</v>
      </c>
      <c r="U138" s="2" t="inlineStr"/>
    </row>
    <row r="139" ht="15" customHeight="1">
      <c r="A139" t="inlineStr">
        <is>
          <t>A 42713-2024</t>
        </is>
      </c>
      <c r="B139" t="inlineStr">
        <is>
          <t>avverkningsanmälan</t>
        </is>
      </c>
      <c r="C139" t="inlineStr">
        <is>
          <t>Föryngringsavverkning</t>
        </is>
      </c>
      <c r="D139" s="1" t="n">
        <v>45566</v>
      </c>
      <c r="E139" s="1" t="n">
        <v>46218</v>
      </c>
      <c r="F139" t="inlineStr">
        <is>
          <t>DALARNAS LÄN</t>
        </is>
      </c>
      <c r="G139" t="inlineStr">
        <is>
          <t>GAGNEF</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50754-2025</t>
        </is>
      </c>
      <c r="B140" t="inlineStr">
        <is>
          <t>avverkningsanmälan</t>
        </is>
      </c>
      <c r="C140" t="inlineStr">
        <is>
          <t>Föryngringsavverkning</t>
        </is>
      </c>
      <c r="D140" s="1" t="n">
        <v>45946</v>
      </c>
      <c r="E140" s="1" t="n">
        <v>46218</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19346-2025</t>
        </is>
      </c>
      <c r="B141" t="inlineStr">
        <is>
          <t>avverkningsanmälan</t>
        </is>
      </c>
      <c r="C141" t="inlineStr">
        <is>
          <t>Föryngringsavverkning</t>
        </is>
      </c>
      <c r="D141" s="1" t="n">
        <v>45769</v>
      </c>
      <c r="E141" s="1" t="n">
        <v>46218</v>
      </c>
      <c r="F141" t="inlineStr">
        <is>
          <t>DALARNAS LÄN</t>
        </is>
      </c>
      <c r="G141" t="inlineStr">
        <is>
          <t>GAGNEF</t>
        </is>
      </c>
      <c r="I141" t="n">
        <v>4.1</v>
      </c>
      <c r="J141" t="n">
        <v>0</v>
      </c>
      <c r="K141" t="n">
        <v>0</v>
      </c>
      <c r="L141" t="n">
        <v>0</v>
      </c>
      <c r="M141" t="n">
        <v>0</v>
      </c>
      <c r="N141" t="n">
        <v>0</v>
      </c>
      <c r="O141" t="n">
        <v>0</v>
      </c>
      <c r="P141" t="n">
        <v>0</v>
      </c>
      <c r="Q141" t="n">
        <v>0</v>
      </c>
      <c r="R141" t="n">
        <v>0</v>
      </c>
      <c r="S141" t="n">
        <v>0</v>
      </c>
      <c r="T141" t="n">
        <v>0</v>
      </c>
      <c r="U141" s="2" t="inlineStr"/>
    </row>
    <row r="142" ht="15" customHeight="1">
      <c r="A142" t="inlineStr">
        <is>
          <t>A 43916-2024</t>
        </is>
      </c>
      <c r="B142" t="inlineStr">
        <is>
          <t>avverkningsanmälan</t>
        </is>
      </c>
      <c r="C142" t="inlineStr">
        <is>
          <t>Föryngringsavverkning</t>
        </is>
      </c>
      <c r="D142" s="1" t="n">
        <v>45572</v>
      </c>
      <c r="E142" s="1" t="n">
        <v>46218</v>
      </c>
      <c r="F142" t="inlineStr">
        <is>
          <t>DALARNAS LÄN</t>
        </is>
      </c>
      <c r="G142" t="inlineStr">
        <is>
          <t>GAGNEF</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20771-2025</t>
        </is>
      </c>
      <c r="B143" t="inlineStr">
        <is>
          <t>avverkningsanmälan</t>
        </is>
      </c>
      <c r="C143" t="inlineStr">
        <is>
          <t>Föryngringsavverkning</t>
        </is>
      </c>
      <c r="D143" s="1" t="n">
        <v>45776</v>
      </c>
      <c r="E143" s="1" t="n">
        <v>46218</v>
      </c>
      <c r="F143" t="inlineStr">
        <is>
          <t>DALARNAS LÄN</t>
        </is>
      </c>
      <c r="G143" t="inlineStr">
        <is>
          <t>GAGNEF</t>
        </is>
      </c>
      <c r="I143" t="n">
        <v>10.5</v>
      </c>
      <c r="J143" t="n">
        <v>0</v>
      </c>
      <c r="K143" t="n">
        <v>0</v>
      </c>
      <c r="L143" t="n">
        <v>0</v>
      </c>
      <c r="M143" t="n">
        <v>0</v>
      </c>
      <c r="N143" t="n">
        <v>0</v>
      </c>
      <c r="O143" t="n">
        <v>0</v>
      </c>
      <c r="P143" t="n">
        <v>0</v>
      </c>
      <c r="Q143" t="n">
        <v>0</v>
      </c>
      <c r="R143" t="n">
        <v>0</v>
      </c>
      <c r="S143" t="n">
        <v>0</v>
      </c>
      <c r="T143" t="n">
        <v>0</v>
      </c>
      <c r="U143" s="2" t="inlineStr"/>
    </row>
    <row r="144" ht="15" customHeight="1">
      <c r="A144" t="inlineStr">
        <is>
          <t>A 48867-2024</t>
        </is>
      </c>
      <c r="B144" t="inlineStr">
        <is>
          <t>avverkningsanmälan</t>
        </is>
      </c>
      <c r="C144" t="inlineStr">
        <is>
          <t>Föryngringsavverkning</t>
        </is>
      </c>
      <c r="D144" s="1" t="n">
        <v>45594</v>
      </c>
      <c r="E144" s="1" t="n">
        <v>46218</v>
      </c>
      <c r="F144" t="inlineStr">
        <is>
          <t>DALARNAS LÄN</t>
        </is>
      </c>
      <c r="G144" t="inlineStr">
        <is>
          <t>GAGNEF</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52136-2025</t>
        </is>
      </c>
      <c r="B145" t="inlineStr">
        <is>
          <t>avverkningsanmälan</t>
        </is>
      </c>
      <c r="C145" t="inlineStr">
        <is>
          <t>Föryngringsavverkning</t>
        </is>
      </c>
      <c r="D145" s="1" t="n">
        <v>45952</v>
      </c>
      <c r="E145" s="1" t="n">
        <v>46218</v>
      </c>
      <c r="F145" t="inlineStr">
        <is>
          <t>DALARNAS LÄN</t>
        </is>
      </c>
      <c r="G145" t="inlineStr">
        <is>
          <t>GAGNEF</t>
        </is>
      </c>
      <c r="I145" t="n">
        <v>5.8</v>
      </c>
      <c r="J145" t="n">
        <v>0</v>
      </c>
      <c r="K145" t="n">
        <v>0</v>
      </c>
      <c r="L145" t="n">
        <v>0</v>
      </c>
      <c r="M145" t="n">
        <v>0</v>
      </c>
      <c r="N145" t="n">
        <v>0</v>
      </c>
      <c r="O145" t="n">
        <v>0</v>
      </c>
      <c r="P145" t="n">
        <v>0</v>
      </c>
      <c r="Q145" t="n">
        <v>0</v>
      </c>
      <c r="R145" t="n">
        <v>0</v>
      </c>
      <c r="S145" t="n">
        <v>0</v>
      </c>
      <c r="T145" t="n">
        <v>0</v>
      </c>
      <c r="U145" s="2" t="inlineStr"/>
    </row>
    <row r="146" ht="15" customHeight="1">
      <c r="A146" t="inlineStr">
        <is>
          <t>A 24862-2024</t>
        </is>
      </c>
      <c r="B146" t="inlineStr">
        <is>
          <t>avverkningsanmälan</t>
        </is>
      </c>
      <c r="C146" t="inlineStr">
        <is>
          <t>Föryngringsavverkning</t>
        </is>
      </c>
      <c r="D146" s="1" t="n">
        <v>45461</v>
      </c>
      <c r="E146" s="1" t="n">
        <v>46218</v>
      </c>
      <c r="F146" t="inlineStr">
        <is>
          <t>DALARNAS LÄN</t>
        </is>
      </c>
      <c r="G146" t="inlineStr">
        <is>
          <t>GAGNEF</t>
        </is>
      </c>
      <c r="I146" t="n">
        <v>2.3</v>
      </c>
      <c r="J146" t="n">
        <v>0</v>
      </c>
      <c r="K146" t="n">
        <v>0</v>
      </c>
      <c r="L146" t="n">
        <v>0</v>
      </c>
      <c r="M146" t="n">
        <v>0</v>
      </c>
      <c r="N146" t="n">
        <v>0</v>
      </c>
      <c r="O146" t="n">
        <v>0</v>
      </c>
      <c r="P146" t="n">
        <v>0</v>
      </c>
      <c r="Q146" t="n">
        <v>0</v>
      </c>
      <c r="R146" t="n">
        <v>0</v>
      </c>
      <c r="S146" t="n">
        <v>0</v>
      </c>
      <c r="T146" t="n">
        <v>0</v>
      </c>
      <c r="U146" s="2" t="inlineStr"/>
    </row>
    <row r="147" ht="15" customHeight="1">
      <c r="A147" t="inlineStr">
        <is>
          <t>A 27814-2024</t>
        </is>
      </c>
      <c r="B147" t="inlineStr">
        <is>
          <t>avverkningsanmälan</t>
        </is>
      </c>
      <c r="C147" t="inlineStr">
        <is>
          <t>Föryngringsavverkning</t>
        </is>
      </c>
      <c r="D147" s="1" t="n">
        <v>45475</v>
      </c>
      <c r="E147" s="1" t="n">
        <v>46218</v>
      </c>
      <c r="F147" t="inlineStr">
        <is>
          <t>DALARNAS LÄN</t>
        </is>
      </c>
      <c r="G147" t="inlineStr">
        <is>
          <t>GAGNEF</t>
        </is>
      </c>
      <c r="I147" t="n">
        <v>3.8</v>
      </c>
      <c r="J147" t="n">
        <v>0</v>
      </c>
      <c r="K147" t="n">
        <v>0</v>
      </c>
      <c r="L147" t="n">
        <v>0</v>
      </c>
      <c r="M147" t="n">
        <v>0</v>
      </c>
      <c r="N147" t="n">
        <v>0</v>
      </c>
      <c r="O147" t="n">
        <v>0</v>
      </c>
      <c r="P147" t="n">
        <v>0</v>
      </c>
      <c r="Q147" t="n">
        <v>0</v>
      </c>
      <c r="R147" t="n">
        <v>0</v>
      </c>
      <c r="S147" t="n">
        <v>0</v>
      </c>
      <c r="T147" t="n">
        <v>0</v>
      </c>
      <c r="U147" s="2" t="inlineStr"/>
    </row>
    <row r="148" ht="15" customHeight="1">
      <c r="A148" t="inlineStr">
        <is>
          <t>A 4375-2024</t>
        </is>
      </c>
      <c r="B148" t="inlineStr">
        <is>
          <t>avverkningsanmälan</t>
        </is>
      </c>
      <c r="C148" t="inlineStr">
        <is>
          <t>Föryngringsavverkning</t>
        </is>
      </c>
      <c r="D148" s="1" t="n">
        <v>45326</v>
      </c>
      <c r="E148" s="1" t="n">
        <v>46218</v>
      </c>
      <c r="F148" t="inlineStr">
        <is>
          <t>DALARNAS LÄN</t>
        </is>
      </c>
      <c r="G148" t="inlineStr">
        <is>
          <t>GAGNEF</t>
        </is>
      </c>
      <c r="I148" t="n">
        <v>9.300000000000001</v>
      </c>
      <c r="J148" t="n">
        <v>0</v>
      </c>
      <c r="K148" t="n">
        <v>0</v>
      </c>
      <c r="L148" t="n">
        <v>0</v>
      </c>
      <c r="M148" t="n">
        <v>0</v>
      </c>
      <c r="N148" t="n">
        <v>0</v>
      </c>
      <c r="O148" t="n">
        <v>0</v>
      </c>
      <c r="P148" t="n">
        <v>0</v>
      </c>
      <c r="Q148" t="n">
        <v>0</v>
      </c>
      <c r="R148" t="n">
        <v>0</v>
      </c>
      <c r="S148" t="n">
        <v>0</v>
      </c>
      <c r="T148" t="n">
        <v>0</v>
      </c>
      <c r="U148" s="2" t="inlineStr"/>
    </row>
    <row r="149" ht="15" customHeight="1">
      <c r="A149" t="inlineStr">
        <is>
          <t>A 52738-2025</t>
        </is>
      </c>
      <c r="B149" t="inlineStr">
        <is>
          <t>avverkningsanmälan</t>
        </is>
      </c>
      <c r="C149" t="inlineStr">
        <is>
          <t>Föryngringsavverkning</t>
        </is>
      </c>
      <c r="D149" s="1" t="n">
        <v>45957</v>
      </c>
      <c r="E149" s="1" t="n">
        <v>46218</v>
      </c>
      <c r="F149" t="inlineStr">
        <is>
          <t>DALARNAS LÄN</t>
        </is>
      </c>
      <c r="G149" t="inlineStr">
        <is>
          <t>GAGNEF</t>
        </is>
      </c>
      <c r="I149" t="n">
        <v>2</v>
      </c>
      <c r="J149" t="n">
        <v>0</v>
      </c>
      <c r="K149" t="n">
        <v>0</v>
      </c>
      <c r="L149" t="n">
        <v>0</v>
      </c>
      <c r="M149" t="n">
        <v>0</v>
      </c>
      <c r="N149" t="n">
        <v>0</v>
      </c>
      <c r="O149" t="n">
        <v>0</v>
      </c>
      <c r="P149" t="n">
        <v>0</v>
      </c>
      <c r="Q149" t="n">
        <v>0</v>
      </c>
      <c r="R149" t="n">
        <v>0</v>
      </c>
      <c r="S149" t="n">
        <v>0</v>
      </c>
      <c r="T149" t="n">
        <v>0</v>
      </c>
      <c r="U149" s="2" t="inlineStr"/>
    </row>
    <row r="150" ht="15" customHeight="1">
      <c r="A150" t="inlineStr">
        <is>
          <t>A 8491-2025</t>
        </is>
      </c>
      <c r="B150" t="inlineStr">
        <is>
          <t>avverkningsanmälan</t>
        </is>
      </c>
      <c r="C150" t="inlineStr">
        <is>
          <t>Föryngringsavverkning</t>
        </is>
      </c>
      <c r="D150" s="1" t="n">
        <v>45709</v>
      </c>
      <c r="E150" s="1" t="n">
        <v>46218</v>
      </c>
      <c r="F150" t="inlineStr">
        <is>
          <t>DALARNAS LÄN</t>
        </is>
      </c>
      <c r="G150" t="inlineStr">
        <is>
          <t>GAGNEF</t>
        </is>
      </c>
      <c r="I150" t="n">
        <v>3.2</v>
      </c>
      <c r="J150" t="n">
        <v>0</v>
      </c>
      <c r="K150" t="n">
        <v>0</v>
      </c>
      <c r="L150" t="n">
        <v>0</v>
      </c>
      <c r="M150" t="n">
        <v>0</v>
      </c>
      <c r="N150" t="n">
        <v>0</v>
      </c>
      <c r="O150" t="n">
        <v>0</v>
      </c>
      <c r="P150" t="n">
        <v>0</v>
      </c>
      <c r="Q150" t="n">
        <v>0</v>
      </c>
      <c r="R150" t="n">
        <v>0</v>
      </c>
      <c r="S150" t="n">
        <v>0</v>
      </c>
      <c r="T150" t="n">
        <v>0</v>
      </c>
      <c r="U150" s="2" t="inlineStr"/>
    </row>
    <row r="151" ht="15" customHeight="1">
      <c r="A151" t="inlineStr">
        <is>
          <t>A 44572-2024</t>
        </is>
      </c>
      <c r="B151" t="inlineStr">
        <is>
          <t>avverkningsanmälan</t>
        </is>
      </c>
      <c r="C151" t="inlineStr">
        <is>
          <t>Föryngringsavverkning</t>
        </is>
      </c>
      <c r="D151" s="1" t="n">
        <v>45574</v>
      </c>
      <c r="E151" s="1" t="n">
        <v>46218</v>
      </c>
      <c r="F151" t="inlineStr">
        <is>
          <t>DALARNAS LÄN</t>
        </is>
      </c>
      <c r="G151" t="inlineStr">
        <is>
          <t>GAGNEF</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30635-2024</t>
        </is>
      </c>
      <c r="B152" t="inlineStr">
        <is>
          <t>avverkningsanmälan</t>
        </is>
      </c>
      <c r="C152" t="inlineStr">
        <is>
          <t>Föryngringsavverkning</t>
        </is>
      </c>
      <c r="D152" s="1" t="n">
        <v>45495</v>
      </c>
      <c r="E152" s="1" t="n">
        <v>46218</v>
      </c>
      <c r="F152" t="inlineStr">
        <is>
          <t>DALARNAS LÄN</t>
        </is>
      </c>
      <c r="G152" t="inlineStr">
        <is>
          <t>GAGNEF</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27668-2023</t>
        </is>
      </c>
      <c r="B153" t="inlineStr">
        <is>
          <t>avverkningsanmälan</t>
        </is>
      </c>
      <c r="C153" t="inlineStr">
        <is>
          <t>Föryngringsavverkning</t>
        </is>
      </c>
      <c r="D153" s="1" t="n">
        <v>45097</v>
      </c>
      <c r="E153" s="1" t="n">
        <v>46218</v>
      </c>
      <c r="F153" t="inlineStr">
        <is>
          <t>DALARNAS LÄN</t>
        </is>
      </c>
      <c r="G153" t="inlineStr">
        <is>
          <t>GAGNEF</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42607-2024</t>
        </is>
      </c>
      <c r="B154" t="inlineStr">
        <is>
          <t>avverkningsanmälan</t>
        </is>
      </c>
      <c r="C154" t="inlineStr">
        <is>
          <t>Föryngringsavverkning</t>
        </is>
      </c>
      <c r="D154" s="1" t="n">
        <v>45565</v>
      </c>
      <c r="E154" s="1" t="n">
        <v>46218</v>
      </c>
      <c r="F154" t="inlineStr">
        <is>
          <t>DALARNAS LÄN</t>
        </is>
      </c>
      <c r="G154" t="inlineStr">
        <is>
          <t>GAGNEF</t>
        </is>
      </c>
      <c r="I154" t="n">
        <v>2.6</v>
      </c>
      <c r="J154" t="n">
        <v>0</v>
      </c>
      <c r="K154" t="n">
        <v>0</v>
      </c>
      <c r="L154" t="n">
        <v>0</v>
      </c>
      <c r="M154" t="n">
        <v>0</v>
      </c>
      <c r="N154" t="n">
        <v>0</v>
      </c>
      <c r="O154" t="n">
        <v>0</v>
      </c>
      <c r="P154" t="n">
        <v>0</v>
      </c>
      <c r="Q154" t="n">
        <v>0</v>
      </c>
      <c r="R154" t="n">
        <v>0</v>
      </c>
      <c r="S154" t="n">
        <v>0</v>
      </c>
      <c r="T154" t="n">
        <v>0</v>
      </c>
      <c r="U154" s="2" t="inlineStr"/>
    </row>
    <row r="155" ht="15" customHeight="1">
      <c r="A155" t="inlineStr">
        <is>
          <t>A 22273-2025</t>
        </is>
      </c>
      <c r="B155" t="inlineStr">
        <is>
          <t>avverkningsanmälan</t>
        </is>
      </c>
      <c r="C155" t="inlineStr">
        <is>
          <t>Föryngringsavverkning</t>
        </is>
      </c>
      <c r="D155" s="1" t="n">
        <v>45785</v>
      </c>
      <c r="E155" s="1" t="n">
        <v>46218</v>
      </c>
      <c r="F155" t="inlineStr">
        <is>
          <t>DALARNAS LÄN</t>
        </is>
      </c>
      <c r="G155" t="inlineStr">
        <is>
          <t>GAGNEF</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16388-2022</t>
        </is>
      </c>
      <c r="B156" t="inlineStr">
        <is>
          <t>avverkningsanmälan</t>
        </is>
      </c>
      <c r="C156" t="inlineStr">
        <is>
          <t>Föryngringsavverkning</t>
        </is>
      </c>
      <c r="D156" s="1" t="n">
        <v>44671</v>
      </c>
      <c r="E156" s="1" t="n">
        <v>46218</v>
      </c>
      <c r="F156" t="inlineStr">
        <is>
          <t>DALARNAS LÄN</t>
        </is>
      </c>
      <c r="G156" t="inlineStr">
        <is>
          <t>GAGNEF</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45596-2023</t>
        </is>
      </c>
      <c r="B157" t="inlineStr">
        <is>
          <t>avverkningsanmälan</t>
        </is>
      </c>
      <c r="C157" t="inlineStr">
        <is>
          <t>Föryngringsavverkning</t>
        </is>
      </c>
      <c r="D157" s="1" t="n">
        <v>45194</v>
      </c>
      <c r="E157" s="1" t="n">
        <v>46218</v>
      </c>
      <c r="F157" t="inlineStr">
        <is>
          <t>DALARNAS LÄN</t>
        </is>
      </c>
      <c r="G157" t="inlineStr">
        <is>
          <t>GAGNEF</t>
        </is>
      </c>
      <c r="I157" t="n">
        <v>4.7</v>
      </c>
      <c r="J157" t="n">
        <v>0</v>
      </c>
      <c r="K157" t="n">
        <v>0</v>
      </c>
      <c r="L157" t="n">
        <v>0</v>
      </c>
      <c r="M157" t="n">
        <v>0</v>
      </c>
      <c r="N157" t="n">
        <v>0</v>
      </c>
      <c r="O157" t="n">
        <v>0</v>
      </c>
      <c r="P157" t="n">
        <v>0</v>
      </c>
      <c r="Q157" t="n">
        <v>0</v>
      </c>
      <c r="R157" t="n">
        <v>0</v>
      </c>
      <c r="S157" t="n">
        <v>0</v>
      </c>
      <c r="T157" t="n">
        <v>0</v>
      </c>
      <c r="U157" s="2" t="inlineStr"/>
    </row>
    <row r="158" ht="15" customHeight="1">
      <c r="A158" t="inlineStr">
        <is>
          <t>A 23488-2024</t>
        </is>
      </c>
      <c r="B158" t="inlineStr">
        <is>
          <t>avverkningsanmälan</t>
        </is>
      </c>
      <c r="C158" t="inlineStr">
        <is>
          <t>Föryngringsavverkning</t>
        </is>
      </c>
      <c r="D158" s="1" t="n">
        <v>45453</v>
      </c>
      <c r="E158" s="1" t="n">
        <v>46218</v>
      </c>
      <c r="F158" t="inlineStr">
        <is>
          <t>DALARNAS LÄN</t>
        </is>
      </c>
      <c r="G158" t="inlineStr">
        <is>
          <t>GAGNEF</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5835-2025</t>
        </is>
      </c>
      <c r="B159" t="inlineStr">
        <is>
          <t>avverkningsanmälan</t>
        </is>
      </c>
      <c r="C159" t="inlineStr">
        <is>
          <t>Föryngringsavverkning</t>
        </is>
      </c>
      <c r="D159" s="1" t="n">
        <v>45694</v>
      </c>
      <c r="E159" s="1" t="n">
        <v>46218</v>
      </c>
      <c r="F159" t="inlineStr">
        <is>
          <t>DALARNAS LÄN</t>
        </is>
      </c>
      <c r="G159" t="inlineStr">
        <is>
          <t>GAGNEF</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57729-2022</t>
        </is>
      </c>
      <c r="B160" t="inlineStr">
        <is>
          <t>avverkningsanmälan</t>
        </is>
      </c>
      <c r="C160" t="inlineStr">
        <is>
          <t>Föryngringsavverkning</t>
        </is>
      </c>
      <c r="D160" s="1" t="n">
        <v>44897</v>
      </c>
      <c r="E160" s="1" t="n">
        <v>46218</v>
      </c>
      <c r="F160" t="inlineStr">
        <is>
          <t>DALARNAS LÄN</t>
        </is>
      </c>
      <c r="G160" t="inlineStr">
        <is>
          <t>GAGNEF</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16118-2023</t>
        </is>
      </c>
      <c r="B161" t="inlineStr">
        <is>
          <t>avverkningsanmälan</t>
        </is>
      </c>
      <c r="C161" t="inlineStr">
        <is>
          <t>Föryngringsavverkning</t>
        </is>
      </c>
      <c r="D161" s="1" t="n">
        <v>45027</v>
      </c>
      <c r="E161" s="1" t="n">
        <v>46218</v>
      </c>
      <c r="F161" t="inlineStr">
        <is>
          <t>DALARNAS LÄN</t>
        </is>
      </c>
      <c r="G161" t="inlineStr">
        <is>
          <t>GAGNEF</t>
        </is>
      </c>
      <c r="I161" t="n">
        <v>2.3</v>
      </c>
      <c r="J161" t="n">
        <v>0</v>
      </c>
      <c r="K161" t="n">
        <v>0</v>
      </c>
      <c r="L161" t="n">
        <v>0</v>
      </c>
      <c r="M161" t="n">
        <v>0</v>
      </c>
      <c r="N161" t="n">
        <v>0</v>
      </c>
      <c r="O161" t="n">
        <v>0</v>
      </c>
      <c r="P161" t="n">
        <v>0</v>
      </c>
      <c r="Q161" t="n">
        <v>0</v>
      </c>
      <c r="R161" t="n">
        <v>0</v>
      </c>
      <c r="S161" t="n">
        <v>0</v>
      </c>
      <c r="T161" t="n">
        <v>0</v>
      </c>
      <c r="U161" s="2" t="inlineStr"/>
    </row>
    <row r="162" ht="15" customHeight="1">
      <c r="A162" t="inlineStr">
        <is>
          <t>A 53917-2025</t>
        </is>
      </c>
      <c r="B162" t="inlineStr">
        <is>
          <t>avverkningsanmälan</t>
        </is>
      </c>
      <c r="C162" t="inlineStr">
        <is>
          <t>Avverkning för annat ändamål</t>
        </is>
      </c>
      <c r="D162" s="1" t="n">
        <v>45961</v>
      </c>
      <c r="E162" s="1" t="n">
        <v>46218</v>
      </c>
      <c r="F162" t="inlineStr">
        <is>
          <t>DALARNAS LÄN</t>
        </is>
      </c>
      <c r="G162" t="inlineStr">
        <is>
          <t>GAGNEF</t>
        </is>
      </c>
      <c r="H162" t="inlineStr">
        <is>
          <t>Kommuner</t>
        </is>
      </c>
      <c r="I162" t="n">
        <v>1.8</v>
      </c>
      <c r="J162" t="n">
        <v>0</v>
      </c>
      <c r="K162" t="n">
        <v>0</v>
      </c>
      <c r="L162" t="n">
        <v>0</v>
      </c>
      <c r="M162" t="n">
        <v>0</v>
      </c>
      <c r="N162" t="n">
        <v>0</v>
      </c>
      <c r="O162" t="n">
        <v>0</v>
      </c>
      <c r="P162" t="n">
        <v>0</v>
      </c>
      <c r="Q162" t="n">
        <v>0</v>
      </c>
      <c r="R162" t="n">
        <v>0</v>
      </c>
      <c r="S162" t="n">
        <v>0</v>
      </c>
      <c r="T162" t="n">
        <v>0</v>
      </c>
      <c r="U162" s="2" t="inlineStr"/>
    </row>
    <row r="163" ht="15" customHeight="1">
      <c r="A163" t="inlineStr">
        <is>
          <t>A 60021-2023</t>
        </is>
      </c>
      <c r="B163" t="inlineStr">
        <is>
          <t>avverkningsanmälan</t>
        </is>
      </c>
      <c r="C163" t="inlineStr">
        <is>
          <t>Föryngringsavverkning</t>
        </is>
      </c>
      <c r="D163" s="1" t="n">
        <v>45258</v>
      </c>
      <c r="E163" s="1" t="n">
        <v>46218</v>
      </c>
      <c r="F163" t="inlineStr">
        <is>
          <t>DALARNAS LÄN</t>
        </is>
      </c>
      <c r="G163" t="inlineStr">
        <is>
          <t>GAGNEF</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7598-2024</t>
        </is>
      </c>
      <c r="B164" t="inlineStr">
        <is>
          <t>avverkningsanmälan</t>
        </is>
      </c>
      <c r="C164" t="inlineStr">
        <is>
          <t>Föryngringsavverkning</t>
        </is>
      </c>
      <c r="D164" s="1" t="n">
        <v>45348</v>
      </c>
      <c r="E164" s="1" t="n">
        <v>46218</v>
      </c>
      <c r="F164" t="inlineStr">
        <is>
          <t>DALARNAS LÄN</t>
        </is>
      </c>
      <c r="G164" t="inlineStr">
        <is>
          <t>GAGNEF</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54285-2025</t>
        </is>
      </c>
      <c r="B165" t="inlineStr">
        <is>
          <t>avverkningsanmälan</t>
        </is>
      </c>
      <c r="C165" t="inlineStr">
        <is>
          <t>Föryngringsavverkning</t>
        </is>
      </c>
      <c r="D165" s="1" t="n">
        <v>45964</v>
      </c>
      <c r="E165" s="1" t="n">
        <v>46218</v>
      </c>
      <c r="F165" t="inlineStr">
        <is>
          <t>DALARNAS LÄN</t>
        </is>
      </c>
      <c r="G165" t="inlineStr">
        <is>
          <t>GAGNEF</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17322-2024</t>
        </is>
      </c>
      <c r="B166" t="inlineStr">
        <is>
          <t>avverkningsanmälan</t>
        </is>
      </c>
      <c r="C166" t="inlineStr">
        <is>
          <t>Föryngringsavverkning</t>
        </is>
      </c>
      <c r="D166" s="1" t="n">
        <v>45414</v>
      </c>
      <c r="E166" s="1" t="n">
        <v>46218</v>
      </c>
      <c r="F166" t="inlineStr">
        <is>
          <t>DALARNAS LÄN</t>
        </is>
      </c>
      <c r="G166" t="inlineStr">
        <is>
          <t>GAGNEF</t>
        </is>
      </c>
      <c r="I166" t="n">
        <v>2.1</v>
      </c>
      <c r="J166" t="n">
        <v>0</v>
      </c>
      <c r="K166" t="n">
        <v>0</v>
      </c>
      <c r="L166" t="n">
        <v>0</v>
      </c>
      <c r="M166" t="n">
        <v>0</v>
      </c>
      <c r="N166" t="n">
        <v>0</v>
      </c>
      <c r="O166" t="n">
        <v>0</v>
      </c>
      <c r="P166" t="n">
        <v>0</v>
      </c>
      <c r="Q166" t="n">
        <v>0</v>
      </c>
      <c r="R166" t="n">
        <v>0</v>
      </c>
      <c r="S166" t="n">
        <v>0</v>
      </c>
      <c r="T166" t="n">
        <v>0</v>
      </c>
      <c r="U166" s="2" t="inlineStr"/>
    </row>
    <row r="167" ht="15" customHeight="1">
      <c r="A167" t="inlineStr">
        <is>
          <t>A 2173-2024</t>
        </is>
      </c>
      <c r="B167" t="inlineStr">
        <is>
          <t>avverkningsanmälan</t>
        </is>
      </c>
      <c r="C167" t="inlineStr">
        <is>
          <t>Föryngringsavverkning</t>
        </is>
      </c>
      <c r="D167" s="1" t="n">
        <v>45309</v>
      </c>
      <c r="E167" s="1" t="n">
        <v>46218</v>
      </c>
      <c r="F167" t="inlineStr">
        <is>
          <t>DALARNAS LÄN</t>
        </is>
      </c>
      <c r="G167" t="inlineStr">
        <is>
          <t>GAGNEF</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60652-2023</t>
        </is>
      </c>
      <c r="B168" t="inlineStr">
        <is>
          <t>avverkningsanmälan</t>
        </is>
      </c>
      <c r="C168" t="inlineStr">
        <is>
          <t>Föryngringsavverkning</t>
        </is>
      </c>
      <c r="D168" s="1" t="n">
        <v>45260</v>
      </c>
      <c r="E168" s="1" t="n">
        <v>46218</v>
      </c>
      <c r="F168" t="inlineStr">
        <is>
          <t>DALARNAS LÄN</t>
        </is>
      </c>
      <c r="G168" t="inlineStr">
        <is>
          <t>GAGNEF</t>
        </is>
      </c>
      <c r="I168" t="n">
        <v>3.4</v>
      </c>
      <c r="J168" t="n">
        <v>0</v>
      </c>
      <c r="K168" t="n">
        <v>0</v>
      </c>
      <c r="L168" t="n">
        <v>0</v>
      </c>
      <c r="M168" t="n">
        <v>0</v>
      </c>
      <c r="N168" t="n">
        <v>0</v>
      </c>
      <c r="O168" t="n">
        <v>0</v>
      </c>
      <c r="P168" t="n">
        <v>0</v>
      </c>
      <c r="Q168" t="n">
        <v>0</v>
      </c>
      <c r="R168" t="n">
        <v>0</v>
      </c>
      <c r="S168" t="n">
        <v>0</v>
      </c>
      <c r="T168" t="n">
        <v>0</v>
      </c>
      <c r="U168" s="2" t="inlineStr"/>
    </row>
    <row r="169" ht="15" customHeight="1">
      <c r="A169" t="inlineStr">
        <is>
          <t>A 63952-2021</t>
        </is>
      </c>
      <c r="B169" t="inlineStr">
        <is>
          <t>avverkningsanmälan</t>
        </is>
      </c>
      <c r="C169" t="inlineStr">
        <is>
          <t>Föryngringsavverkning</t>
        </is>
      </c>
      <c r="D169" s="1" t="n">
        <v>44509</v>
      </c>
      <c r="E169" s="1" t="n">
        <v>46218</v>
      </c>
      <c r="F169" t="inlineStr">
        <is>
          <t>DALARNAS LÄN</t>
        </is>
      </c>
      <c r="G169" t="inlineStr">
        <is>
          <t>GAGNEF</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41366-2023</t>
        </is>
      </c>
      <c r="B170" t="inlineStr">
        <is>
          <t>avverkningsanmälan</t>
        </is>
      </c>
      <c r="C170" t="inlineStr">
        <is>
          <t>Föryngringsavverkning</t>
        </is>
      </c>
      <c r="D170" s="1" t="n">
        <v>45174</v>
      </c>
      <c r="E170" s="1" t="n">
        <v>46218</v>
      </c>
      <c r="F170" t="inlineStr">
        <is>
          <t>DALARNAS LÄN</t>
        </is>
      </c>
      <c r="G170" t="inlineStr">
        <is>
          <t>GAGNEF</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2017-2025</t>
        </is>
      </c>
      <c r="B171" t="inlineStr">
        <is>
          <t>avverkningsanmälan</t>
        </is>
      </c>
      <c r="C171" t="inlineStr">
        <is>
          <t>Avverkning för annat ändamål</t>
        </is>
      </c>
      <c r="D171" s="1" t="n">
        <v>45672</v>
      </c>
      <c r="E171" s="1" t="n">
        <v>46218</v>
      </c>
      <c r="F171" t="inlineStr">
        <is>
          <t>DALARNAS LÄN</t>
        </is>
      </c>
      <c r="G171" t="inlineStr">
        <is>
          <t>GAGNEF</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2443-2024</t>
        </is>
      </c>
      <c r="B172" t="inlineStr">
        <is>
          <t>avverkningsanmälan</t>
        </is>
      </c>
      <c r="C172" t="inlineStr">
        <is>
          <t>Föryngringsavverkning</t>
        </is>
      </c>
      <c r="D172" s="1" t="n">
        <v>45311</v>
      </c>
      <c r="E172" s="1" t="n">
        <v>46218</v>
      </c>
      <c r="F172" t="inlineStr">
        <is>
          <t>DALARNAS LÄN</t>
        </is>
      </c>
      <c r="G172" t="inlineStr">
        <is>
          <t>GAGNEF</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68330-2021</t>
        </is>
      </c>
      <c r="B173" t="inlineStr">
        <is>
          <t>avverkningsanmälan</t>
        </is>
      </c>
      <c r="C173" t="inlineStr">
        <is>
          <t>Föryngringsavverkning</t>
        </is>
      </c>
      <c r="D173" s="1" t="n">
        <v>44527</v>
      </c>
      <c r="E173" s="1" t="n">
        <v>46218</v>
      </c>
      <c r="F173" t="inlineStr">
        <is>
          <t>DALARNAS LÄN</t>
        </is>
      </c>
      <c r="G173" t="inlineStr">
        <is>
          <t>GAGNEF</t>
        </is>
      </c>
      <c r="I173" t="n">
        <v>4.1</v>
      </c>
      <c r="J173" t="n">
        <v>0</v>
      </c>
      <c r="K173" t="n">
        <v>0</v>
      </c>
      <c r="L173" t="n">
        <v>0</v>
      </c>
      <c r="M173" t="n">
        <v>0</v>
      </c>
      <c r="N173" t="n">
        <v>0</v>
      </c>
      <c r="O173" t="n">
        <v>0</v>
      </c>
      <c r="P173" t="n">
        <v>0</v>
      </c>
      <c r="Q173" t="n">
        <v>0</v>
      </c>
      <c r="R173" t="n">
        <v>0</v>
      </c>
      <c r="S173" t="n">
        <v>0</v>
      </c>
      <c r="T173" t="n">
        <v>0</v>
      </c>
      <c r="U173" s="2" t="inlineStr"/>
    </row>
    <row r="174" ht="15" customHeight="1">
      <c r="A174" t="inlineStr">
        <is>
          <t>A 18412-2024</t>
        </is>
      </c>
      <c r="B174" t="inlineStr">
        <is>
          <t>avverkningsanmälan</t>
        </is>
      </c>
      <c r="C174" t="inlineStr">
        <is>
          <t>Föryngringsavverkning</t>
        </is>
      </c>
      <c r="D174" s="1" t="n">
        <v>45425</v>
      </c>
      <c r="E174" s="1" t="n">
        <v>46218</v>
      </c>
      <c r="F174" t="inlineStr">
        <is>
          <t>DALARNAS LÄN</t>
        </is>
      </c>
      <c r="G174" t="inlineStr">
        <is>
          <t>GAGNEF</t>
        </is>
      </c>
      <c r="I174" t="n">
        <v>2.9</v>
      </c>
      <c r="J174" t="n">
        <v>0</v>
      </c>
      <c r="K174" t="n">
        <v>0</v>
      </c>
      <c r="L174" t="n">
        <v>0</v>
      </c>
      <c r="M174" t="n">
        <v>0</v>
      </c>
      <c r="N174" t="n">
        <v>0</v>
      </c>
      <c r="O174" t="n">
        <v>0</v>
      </c>
      <c r="P174" t="n">
        <v>0</v>
      </c>
      <c r="Q174" t="n">
        <v>0</v>
      </c>
      <c r="R174" t="n">
        <v>0</v>
      </c>
      <c r="S174" t="n">
        <v>0</v>
      </c>
      <c r="T174" t="n">
        <v>0</v>
      </c>
      <c r="U174" s="2" t="inlineStr"/>
    </row>
    <row r="175" ht="15" customHeight="1">
      <c r="A175" t="inlineStr">
        <is>
          <t>A 37870-2022</t>
        </is>
      </c>
      <c r="B175" t="inlineStr">
        <is>
          <t>avverkningsanmälan</t>
        </is>
      </c>
      <c r="C175" t="inlineStr">
        <is>
          <t>Föryngringsavverkning</t>
        </is>
      </c>
      <c r="D175" s="1" t="n">
        <v>44811</v>
      </c>
      <c r="E175" s="1" t="n">
        <v>46218</v>
      </c>
      <c r="F175" t="inlineStr">
        <is>
          <t>DALARNAS LÄN</t>
        </is>
      </c>
      <c r="G175" t="inlineStr">
        <is>
          <t>GAGNEF</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42677-2024</t>
        </is>
      </c>
      <c r="B176" t="inlineStr">
        <is>
          <t>avverkningsanmälan</t>
        </is>
      </c>
      <c r="C176" t="inlineStr">
        <is>
          <t>Föryngringsavverkning</t>
        </is>
      </c>
      <c r="D176" s="1" t="n">
        <v>45566</v>
      </c>
      <c r="E176" s="1" t="n">
        <v>46218</v>
      </c>
      <c r="F176" t="inlineStr">
        <is>
          <t>DALARNAS LÄN</t>
        </is>
      </c>
      <c r="G176" t="inlineStr">
        <is>
          <t>GAGNEF</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64987-2023</t>
        </is>
      </c>
      <c r="B177" t="inlineStr">
        <is>
          <t>avverkningsanmälan</t>
        </is>
      </c>
      <c r="C177" t="inlineStr">
        <is>
          <t>Föryngringsavverkning</t>
        </is>
      </c>
      <c r="D177" s="1" t="n">
        <v>45285</v>
      </c>
      <c r="E177" s="1" t="n">
        <v>46218</v>
      </c>
      <c r="F177" t="inlineStr">
        <is>
          <t>DALARNAS LÄN</t>
        </is>
      </c>
      <c r="G177" t="inlineStr">
        <is>
          <t>GAGNEF</t>
        </is>
      </c>
      <c r="I177" t="n">
        <v>6.2</v>
      </c>
      <c r="J177" t="n">
        <v>0</v>
      </c>
      <c r="K177" t="n">
        <v>0</v>
      </c>
      <c r="L177" t="n">
        <v>0</v>
      </c>
      <c r="M177" t="n">
        <v>0</v>
      </c>
      <c r="N177" t="n">
        <v>0</v>
      </c>
      <c r="O177" t="n">
        <v>0</v>
      </c>
      <c r="P177" t="n">
        <v>0</v>
      </c>
      <c r="Q177" t="n">
        <v>0</v>
      </c>
      <c r="R177" t="n">
        <v>0</v>
      </c>
      <c r="S177" t="n">
        <v>0</v>
      </c>
      <c r="T177" t="n">
        <v>0</v>
      </c>
      <c r="U177" s="2" t="inlineStr"/>
    </row>
    <row r="178" ht="15" customHeight="1">
      <c r="A178" t="inlineStr">
        <is>
          <t>A 39367-2023</t>
        </is>
      </c>
      <c r="B178" t="inlineStr">
        <is>
          <t>avverkningsanmälan</t>
        </is>
      </c>
      <c r="C178" t="inlineStr">
        <is>
          <t>Föryngringsavverkning</t>
        </is>
      </c>
      <c r="D178" s="1" t="n">
        <v>45166</v>
      </c>
      <c r="E178" s="1" t="n">
        <v>46218</v>
      </c>
      <c r="F178" t="inlineStr">
        <is>
          <t>DALARNAS LÄN</t>
        </is>
      </c>
      <c r="G178" t="inlineStr">
        <is>
          <t>GAGNEF</t>
        </is>
      </c>
      <c r="H178" t="inlineStr">
        <is>
          <t>Bergvik skog väst AB</t>
        </is>
      </c>
      <c r="I178" t="n">
        <v>2.4</v>
      </c>
      <c r="J178" t="n">
        <v>0</v>
      </c>
      <c r="K178" t="n">
        <v>0</v>
      </c>
      <c r="L178" t="n">
        <v>0</v>
      </c>
      <c r="M178" t="n">
        <v>0</v>
      </c>
      <c r="N178" t="n">
        <v>0</v>
      </c>
      <c r="O178" t="n">
        <v>0</v>
      </c>
      <c r="P178" t="n">
        <v>0</v>
      </c>
      <c r="Q178" t="n">
        <v>0</v>
      </c>
      <c r="R178" t="n">
        <v>0</v>
      </c>
      <c r="S178" t="n">
        <v>0</v>
      </c>
      <c r="T178" t="n">
        <v>0</v>
      </c>
      <c r="U178" s="2" t="inlineStr"/>
    </row>
    <row r="179" ht="15" customHeight="1">
      <c r="A179" t="inlineStr">
        <is>
          <t>A 16858-2025</t>
        </is>
      </c>
      <c r="B179" t="inlineStr">
        <is>
          <t>avverkningsanmälan</t>
        </is>
      </c>
      <c r="C179" t="inlineStr">
        <is>
          <t>Avverkning för annat ändamål</t>
        </is>
      </c>
      <c r="D179" s="1" t="n">
        <v>45751</v>
      </c>
      <c r="E179" s="1" t="n">
        <v>46218</v>
      </c>
      <c r="F179" t="inlineStr">
        <is>
          <t>DALARNAS LÄN</t>
        </is>
      </c>
      <c r="G179" t="inlineStr">
        <is>
          <t>GAGNEF</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3411-2025</t>
        </is>
      </c>
      <c r="B180" t="inlineStr">
        <is>
          <t>avverkningsanmälan</t>
        </is>
      </c>
      <c r="C180" t="inlineStr">
        <is>
          <t>Föryngringsavverkning</t>
        </is>
      </c>
      <c r="D180" s="1" t="n">
        <v>45680</v>
      </c>
      <c r="E180" s="1" t="n">
        <v>46218</v>
      </c>
      <c r="F180" t="inlineStr">
        <is>
          <t>DALARNAS LÄN</t>
        </is>
      </c>
      <c r="G180" t="inlineStr">
        <is>
          <t>GAGNEF</t>
        </is>
      </c>
      <c r="I180" t="n">
        <v>5.3</v>
      </c>
      <c r="J180" t="n">
        <v>0</v>
      </c>
      <c r="K180" t="n">
        <v>0</v>
      </c>
      <c r="L180" t="n">
        <v>0</v>
      </c>
      <c r="M180" t="n">
        <v>0</v>
      </c>
      <c r="N180" t="n">
        <v>0</v>
      </c>
      <c r="O180" t="n">
        <v>0</v>
      </c>
      <c r="P180" t="n">
        <v>0</v>
      </c>
      <c r="Q180" t="n">
        <v>0</v>
      </c>
      <c r="R180" t="n">
        <v>0</v>
      </c>
      <c r="S180" t="n">
        <v>0</v>
      </c>
      <c r="T180" t="n">
        <v>0</v>
      </c>
      <c r="U180" s="2" t="inlineStr"/>
    </row>
    <row r="181" ht="15" customHeight="1">
      <c r="A181" t="inlineStr">
        <is>
          <t>A 52439-2024</t>
        </is>
      </c>
      <c r="B181" t="inlineStr">
        <is>
          <t>avverkningsanmälan</t>
        </is>
      </c>
      <c r="C181" t="inlineStr">
        <is>
          <t>Föryngringsavverkning</t>
        </is>
      </c>
      <c r="D181" s="1" t="n">
        <v>45608</v>
      </c>
      <c r="E181" s="1" t="n">
        <v>46218</v>
      </c>
      <c r="F181" t="inlineStr">
        <is>
          <t>DALARNAS LÄN</t>
        </is>
      </c>
      <c r="G181" t="inlineStr">
        <is>
          <t>GAGNEF</t>
        </is>
      </c>
      <c r="I181" t="n">
        <v>3.1</v>
      </c>
      <c r="J181" t="n">
        <v>0</v>
      </c>
      <c r="K181" t="n">
        <v>0</v>
      </c>
      <c r="L181" t="n">
        <v>0</v>
      </c>
      <c r="M181" t="n">
        <v>0</v>
      </c>
      <c r="N181" t="n">
        <v>0</v>
      </c>
      <c r="O181" t="n">
        <v>0</v>
      </c>
      <c r="P181" t="n">
        <v>0</v>
      </c>
      <c r="Q181" t="n">
        <v>0</v>
      </c>
      <c r="R181" t="n">
        <v>0</v>
      </c>
      <c r="S181" t="n">
        <v>0</v>
      </c>
      <c r="T181" t="n">
        <v>0</v>
      </c>
      <c r="U181" s="2" t="inlineStr"/>
    </row>
    <row r="182" ht="15" customHeight="1">
      <c r="A182" t="inlineStr">
        <is>
          <t>A 55838-2025</t>
        </is>
      </c>
      <c r="B182" t="inlineStr">
        <is>
          <t>avverkningsanmälan</t>
        </is>
      </c>
      <c r="C182" t="inlineStr">
        <is>
          <t>Föryngringsavverkning</t>
        </is>
      </c>
      <c r="D182" s="1" t="n">
        <v>45972</v>
      </c>
      <c r="E182" s="1" t="n">
        <v>46218</v>
      </c>
      <c r="F182" t="inlineStr">
        <is>
          <t>DALARNAS LÄN</t>
        </is>
      </c>
      <c r="G182" t="inlineStr">
        <is>
          <t>GAGNEF</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63648-2023</t>
        </is>
      </c>
      <c r="B183" t="inlineStr">
        <is>
          <t>avverkningsanmälan</t>
        </is>
      </c>
      <c r="C183" t="inlineStr">
        <is>
          <t>Föryngringsavverkning</t>
        </is>
      </c>
      <c r="D183" s="1" t="n">
        <v>45275</v>
      </c>
      <c r="E183" s="1" t="n">
        <v>46218</v>
      </c>
      <c r="F183" t="inlineStr">
        <is>
          <t>DALARNAS LÄN</t>
        </is>
      </c>
      <c r="G183" t="inlineStr">
        <is>
          <t>GAGNEF</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52437-2024</t>
        </is>
      </c>
      <c r="B184" t="inlineStr">
        <is>
          <t>avverkningsanmälan</t>
        </is>
      </c>
      <c r="C184" t="inlineStr">
        <is>
          <t>Föryngringsavverkning</t>
        </is>
      </c>
      <c r="D184" s="1" t="n">
        <v>45608</v>
      </c>
      <c r="E184" s="1" t="n">
        <v>46218</v>
      </c>
      <c r="F184" t="inlineStr">
        <is>
          <t>DALARNAS LÄN</t>
        </is>
      </c>
      <c r="G184" t="inlineStr">
        <is>
          <t>GAGNEF</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55801-2025</t>
        </is>
      </c>
      <c r="B185" t="inlineStr">
        <is>
          <t>avverkningsanmälan</t>
        </is>
      </c>
      <c r="C185" t="inlineStr">
        <is>
          <t>Föryngringsavverkning</t>
        </is>
      </c>
      <c r="D185" s="1" t="n">
        <v>45972</v>
      </c>
      <c r="E185" s="1" t="n">
        <v>46218</v>
      </c>
      <c r="F185" t="inlineStr">
        <is>
          <t>DALARNAS LÄN</t>
        </is>
      </c>
      <c r="G185" t="inlineStr">
        <is>
          <t>GAGNEF</t>
        </is>
      </c>
      <c r="I185" t="n">
        <v>2.9</v>
      </c>
      <c r="J185" t="n">
        <v>0</v>
      </c>
      <c r="K185" t="n">
        <v>0</v>
      </c>
      <c r="L185" t="n">
        <v>0</v>
      </c>
      <c r="M185" t="n">
        <v>0</v>
      </c>
      <c r="N185" t="n">
        <v>0</v>
      </c>
      <c r="O185" t="n">
        <v>0</v>
      </c>
      <c r="P185" t="n">
        <v>0</v>
      </c>
      <c r="Q185" t="n">
        <v>0</v>
      </c>
      <c r="R185" t="n">
        <v>0</v>
      </c>
      <c r="S185" t="n">
        <v>0</v>
      </c>
      <c r="T185" t="n">
        <v>0</v>
      </c>
      <c r="U185" s="2" t="inlineStr"/>
    </row>
    <row r="186" ht="15" customHeight="1">
      <c r="A186" t="inlineStr">
        <is>
          <t>A 35526-2024</t>
        </is>
      </c>
      <c r="B186" t="inlineStr">
        <is>
          <t>avverkningsanmälan</t>
        </is>
      </c>
      <c r="C186" t="inlineStr">
        <is>
          <t>Föryngringsavverkning</t>
        </is>
      </c>
      <c r="D186" s="1" t="n">
        <v>45531</v>
      </c>
      <c r="E186" s="1" t="n">
        <v>46218</v>
      </c>
      <c r="F186" t="inlineStr">
        <is>
          <t>DALARNAS LÄN</t>
        </is>
      </c>
      <c r="G186" t="inlineStr">
        <is>
          <t>GAGNEF</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13169-2025</t>
        </is>
      </c>
      <c r="B187" t="inlineStr">
        <is>
          <t>avverkningsanmälan</t>
        </is>
      </c>
      <c r="C187" t="inlineStr">
        <is>
          <t>Föryngringsavverkning</t>
        </is>
      </c>
      <c r="D187" s="1" t="n">
        <v>45735</v>
      </c>
      <c r="E187" s="1" t="n">
        <v>46218</v>
      </c>
      <c r="F187" t="inlineStr">
        <is>
          <t>DALARNAS LÄN</t>
        </is>
      </c>
      <c r="G187" t="inlineStr">
        <is>
          <t>GAGNEF</t>
        </is>
      </c>
      <c r="H187" t="inlineStr">
        <is>
          <t>Bergvik skog väst AB</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12741-2025</t>
        </is>
      </c>
      <c r="B188" t="inlineStr">
        <is>
          <t>avverkningsanmälan</t>
        </is>
      </c>
      <c r="C188" t="inlineStr">
        <is>
          <t>Föryngringsavverkning</t>
        </is>
      </c>
      <c r="D188" s="1" t="n">
        <v>45733</v>
      </c>
      <c r="E188" s="1" t="n">
        <v>46218</v>
      </c>
      <c r="F188" t="inlineStr">
        <is>
          <t>DALARNAS LÄN</t>
        </is>
      </c>
      <c r="G188" t="inlineStr">
        <is>
          <t>GAGNEF</t>
        </is>
      </c>
      <c r="I188" t="n">
        <v>4.6</v>
      </c>
      <c r="J188" t="n">
        <v>0</v>
      </c>
      <c r="K188" t="n">
        <v>0</v>
      </c>
      <c r="L188" t="n">
        <v>0</v>
      </c>
      <c r="M188" t="n">
        <v>0</v>
      </c>
      <c r="N188" t="n">
        <v>0</v>
      </c>
      <c r="O188" t="n">
        <v>0</v>
      </c>
      <c r="P188" t="n">
        <v>0</v>
      </c>
      <c r="Q188" t="n">
        <v>0</v>
      </c>
      <c r="R188" t="n">
        <v>0</v>
      </c>
      <c r="S188" t="n">
        <v>0</v>
      </c>
      <c r="T188" t="n">
        <v>0</v>
      </c>
      <c r="U188" s="2" t="inlineStr"/>
    </row>
    <row r="189" ht="15" customHeight="1">
      <c r="A189" t="inlineStr">
        <is>
          <t>A 42715-2024</t>
        </is>
      </c>
      <c r="B189" t="inlineStr">
        <is>
          <t>avverkningsanmälan</t>
        </is>
      </c>
      <c r="C189" t="inlineStr">
        <is>
          <t>Föryngringsavverkning</t>
        </is>
      </c>
      <c r="D189" s="1" t="n">
        <v>45566</v>
      </c>
      <c r="E189" s="1" t="n">
        <v>46218</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57135-2025</t>
        </is>
      </c>
      <c r="B190" t="inlineStr">
        <is>
          <t>avverkningsanmälan</t>
        </is>
      </c>
      <c r="C190" t="inlineStr">
        <is>
          <t>Föryngringsavverkning</t>
        </is>
      </c>
      <c r="D190" s="1" t="n">
        <v>45979</v>
      </c>
      <c r="E190" s="1" t="n">
        <v>46218</v>
      </c>
      <c r="F190" t="inlineStr">
        <is>
          <t>DALARNAS LÄN</t>
        </is>
      </c>
      <c r="G190" t="inlineStr">
        <is>
          <t>GAGNEF</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7601-2024</t>
        </is>
      </c>
      <c r="B191" t="inlineStr">
        <is>
          <t>avverkningsanmälan</t>
        </is>
      </c>
      <c r="C191" t="inlineStr">
        <is>
          <t>Föryngringsavverkning</t>
        </is>
      </c>
      <c r="D191" s="1" t="n">
        <v>45348</v>
      </c>
      <c r="E191" s="1" t="n">
        <v>46218</v>
      </c>
      <c r="F191" t="inlineStr">
        <is>
          <t>DALARNAS LÄN</t>
        </is>
      </c>
      <c r="G191" t="inlineStr">
        <is>
          <t>GAGNEF</t>
        </is>
      </c>
      <c r="I191" t="n">
        <v>2</v>
      </c>
      <c r="J191" t="n">
        <v>0</v>
      </c>
      <c r="K191" t="n">
        <v>0</v>
      </c>
      <c r="L191" t="n">
        <v>0</v>
      </c>
      <c r="M191" t="n">
        <v>0</v>
      </c>
      <c r="N191" t="n">
        <v>0</v>
      </c>
      <c r="O191" t="n">
        <v>0</v>
      </c>
      <c r="P191" t="n">
        <v>0</v>
      </c>
      <c r="Q191" t="n">
        <v>0</v>
      </c>
      <c r="R191" t="n">
        <v>0</v>
      </c>
      <c r="S191" t="n">
        <v>0</v>
      </c>
      <c r="T191" t="n">
        <v>0</v>
      </c>
      <c r="U191" s="2" t="inlineStr"/>
    </row>
    <row r="192" ht="15" customHeight="1">
      <c r="A192" t="inlineStr">
        <is>
          <t>A 18956-2025</t>
        </is>
      </c>
      <c r="B192" t="inlineStr">
        <is>
          <t>avverkningsanmälan</t>
        </is>
      </c>
      <c r="C192" t="inlineStr">
        <is>
          <t>Föryngringsavverkning</t>
        </is>
      </c>
      <c r="D192" s="1" t="n">
        <v>45764</v>
      </c>
      <c r="E192" s="1" t="n">
        <v>46218</v>
      </c>
      <c r="F192" t="inlineStr">
        <is>
          <t>DALARNAS LÄN</t>
        </is>
      </c>
      <c r="G192" t="inlineStr">
        <is>
          <t>GAGNEF</t>
        </is>
      </c>
      <c r="I192" t="n">
        <v>1.4</v>
      </c>
      <c r="J192" t="n">
        <v>0</v>
      </c>
      <c r="K192" t="n">
        <v>0</v>
      </c>
      <c r="L192" t="n">
        <v>0</v>
      </c>
      <c r="M192" t="n">
        <v>0</v>
      </c>
      <c r="N192" t="n">
        <v>0</v>
      </c>
      <c r="O192" t="n">
        <v>0</v>
      </c>
      <c r="P192" t="n">
        <v>0</v>
      </c>
      <c r="Q192" t="n">
        <v>0</v>
      </c>
      <c r="R192" t="n">
        <v>0</v>
      </c>
      <c r="S192" t="n">
        <v>0</v>
      </c>
      <c r="T192" t="n">
        <v>0</v>
      </c>
      <c r="U192" s="2" t="inlineStr"/>
    </row>
    <row r="193" ht="15" customHeight="1">
      <c r="A193" t="inlineStr">
        <is>
          <t>A 51251-2023</t>
        </is>
      </c>
      <c r="B193" t="inlineStr">
        <is>
          <t>avverkningsanmälan</t>
        </is>
      </c>
      <c r="C193" t="inlineStr">
        <is>
          <t>Föryngringsavverkning</t>
        </is>
      </c>
      <c r="D193" s="1" t="n">
        <v>45219</v>
      </c>
      <c r="E193" s="1" t="n">
        <v>46218</v>
      </c>
      <c r="F193" t="inlineStr">
        <is>
          <t>DALARNAS LÄN</t>
        </is>
      </c>
      <c r="G193" t="inlineStr">
        <is>
          <t>GAGNEF</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51287-2023</t>
        </is>
      </c>
      <c r="B194" t="inlineStr">
        <is>
          <t>avverkningsanmälan</t>
        </is>
      </c>
      <c r="C194" t="inlineStr">
        <is>
          <t>Föryngringsavverkning</t>
        </is>
      </c>
      <c r="D194" s="1" t="n">
        <v>45219</v>
      </c>
      <c r="E194" s="1" t="n">
        <v>46218</v>
      </c>
      <c r="F194" t="inlineStr">
        <is>
          <t>DALARNAS LÄN</t>
        </is>
      </c>
      <c r="G194" t="inlineStr">
        <is>
          <t>GAGNEF</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29848-2025</t>
        </is>
      </c>
      <c r="B195" t="inlineStr">
        <is>
          <t>avverkningsanmälan</t>
        </is>
      </c>
      <c r="C195" t="inlineStr">
        <is>
          <t>Föryngringsavverkning</t>
        </is>
      </c>
      <c r="D195" s="1" t="n">
        <v>45826</v>
      </c>
      <c r="E195" s="1" t="n">
        <v>46218</v>
      </c>
      <c r="F195" t="inlineStr">
        <is>
          <t>DALARNAS LÄN</t>
        </is>
      </c>
      <c r="G195" t="inlineStr">
        <is>
          <t>GAGNEF</t>
        </is>
      </c>
      <c r="I195" t="n">
        <v>4.1</v>
      </c>
      <c r="J195" t="n">
        <v>0</v>
      </c>
      <c r="K195" t="n">
        <v>0</v>
      </c>
      <c r="L195" t="n">
        <v>0</v>
      </c>
      <c r="M195" t="n">
        <v>0</v>
      </c>
      <c r="N195" t="n">
        <v>0</v>
      </c>
      <c r="O195" t="n">
        <v>0</v>
      </c>
      <c r="P195" t="n">
        <v>0</v>
      </c>
      <c r="Q195" t="n">
        <v>0</v>
      </c>
      <c r="R195" t="n">
        <v>0</v>
      </c>
      <c r="S195" t="n">
        <v>0</v>
      </c>
      <c r="T195" t="n">
        <v>0</v>
      </c>
      <c r="U195" s="2" t="inlineStr"/>
    </row>
    <row r="196" ht="15" customHeight="1">
      <c r="A196" t="inlineStr">
        <is>
          <t>A 15861-2025</t>
        </is>
      </c>
      <c r="B196" t="inlineStr">
        <is>
          <t>avverkningsanmälan</t>
        </is>
      </c>
      <c r="C196" t="inlineStr">
        <is>
          <t>Föryngringsavverkning</t>
        </is>
      </c>
      <c r="D196" s="1" t="n">
        <v>45749</v>
      </c>
      <c r="E196" s="1" t="n">
        <v>46218</v>
      </c>
      <c r="F196" t="inlineStr">
        <is>
          <t>DALARNAS LÄN</t>
        </is>
      </c>
      <c r="G196" t="inlineStr">
        <is>
          <t>GAGNEF</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35892-2024</t>
        </is>
      </c>
      <c r="B197" t="inlineStr">
        <is>
          <t>avverkningsanmälan</t>
        </is>
      </c>
      <c r="C197" t="inlineStr">
        <is>
          <t>Föryngringsavverkning</t>
        </is>
      </c>
      <c r="D197" s="1" t="n">
        <v>45533</v>
      </c>
      <c r="E197" s="1" t="n">
        <v>46218</v>
      </c>
      <c r="F197" t="inlineStr">
        <is>
          <t>DALARNAS LÄN</t>
        </is>
      </c>
      <c r="G197" t="inlineStr">
        <is>
          <t>GAGNEF</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30098-2025</t>
        </is>
      </c>
      <c r="B198" t="inlineStr">
        <is>
          <t>avverkningsanmälan</t>
        </is>
      </c>
      <c r="C198" t="inlineStr">
        <is>
          <t>Föryngringsavverkning</t>
        </is>
      </c>
      <c r="D198" s="1" t="n">
        <v>45826</v>
      </c>
      <c r="E198" s="1" t="n">
        <v>46218</v>
      </c>
      <c r="F198" t="inlineStr">
        <is>
          <t>DALARNAS LÄN</t>
        </is>
      </c>
      <c r="G198" t="inlineStr">
        <is>
          <t>GAGNEF</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36891-2024</t>
        </is>
      </c>
      <c r="B199" t="inlineStr">
        <is>
          <t>avverkningsanmälan</t>
        </is>
      </c>
      <c r="C199" t="inlineStr">
        <is>
          <t>Föryngringsavverkning</t>
        </is>
      </c>
      <c r="D199" s="1" t="n">
        <v>45538</v>
      </c>
      <c r="E199" s="1" t="n">
        <v>46218</v>
      </c>
      <c r="F199" t="inlineStr">
        <is>
          <t>DALARNAS LÄN</t>
        </is>
      </c>
      <c r="G199" t="inlineStr">
        <is>
          <t>GAGNEF</t>
        </is>
      </c>
      <c r="H199" t="inlineStr">
        <is>
          <t>Bergvik skog väst AB</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326-2024</t>
        </is>
      </c>
      <c r="B200" t="inlineStr">
        <is>
          <t>avverkningsanmälan</t>
        </is>
      </c>
      <c r="C200" t="inlineStr">
        <is>
          <t>Föryngringsavverkning</t>
        </is>
      </c>
      <c r="D200" s="1" t="n">
        <v>45295</v>
      </c>
      <c r="E200" s="1" t="n">
        <v>46218</v>
      </c>
      <c r="F200" t="inlineStr">
        <is>
          <t>DALARNAS LÄN</t>
        </is>
      </c>
      <c r="G200" t="inlineStr">
        <is>
          <t>GAGNEF</t>
        </is>
      </c>
      <c r="I200" t="n">
        <v>9.4</v>
      </c>
      <c r="J200" t="n">
        <v>0</v>
      </c>
      <c r="K200" t="n">
        <v>0</v>
      </c>
      <c r="L200" t="n">
        <v>0</v>
      </c>
      <c r="M200" t="n">
        <v>0</v>
      </c>
      <c r="N200" t="n">
        <v>0</v>
      </c>
      <c r="O200" t="n">
        <v>0</v>
      </c>
      <c r="P200" t="n">
        <v>0</v>
      </c>
      <c r="Q200" t="n">
        <v>0</v>
      </c>
      <c r="R200" t="n">
        <v>0</v>
      </c>
      <c r="S200" t="n">
        <v>0</v>
      </c>
      <c r="T200" t="n">
        <v>0</v>
      </c>
      <c r="U200" s="2" t="inlineStr"/>
    </row>
    <row r="201" ht="15" customHeight="1">
      <c r="A201" t="inlineStr">
        <is>
          <t>A 57134-2022</t>
        </is>
      </c>
      <c r="B201" t="inlineStr">
        <is>
          <t>avverkningsanmälan</t>
        </is>
      </c>
      <c r="C201" t="inlineStr">
        <is>
          <t>Föryngringsavverkning</t>
        </is>
      </c>
      <c r="D201" s="1" t="n">
        <v>44895</v>
      </c>
      <c r="E201" s="1" t="n">
        <v>46218</v>
      </c>
      <c r="F201" t="inlineStr">
        <is>
          <t>DALARNAS LÄN</t>
        </is>
      </c>
      <c r="G201" t="inlineStr">
        <is>
          <t>GAGNEF</t>
        </is>
      </c>
      <c r="I201" t="n">
        <v>3.5</v>
      </c>
      <c r="J201" t="n">
        <v>0</v>
      </c>
      <c r="K201" t="n">
        <v>0</v>
      </c>
      <c r="L201" t="n">
        <v>0</v>
      </c>
      <c r="M201" t="n">
        <v>0</v>
      </c>
      <c r="N201" t="n">
        <v>0</v>
      </c>
      <c r="O201" t="n">
        <v>0</v>
      </c>
      <c r="P201" t="n">
        <v>0</v>
      </c>
      <c r="Q201" t="n">
        <v>0</v>
      </c>
      <c r="R201" t="n">
        <v>0</v>
      </c>
      <c r="S201" t="n">
        <v>0</v>
      </c>
      <c r="T201" t="n">
        <v>0</v>
      </c>
      <c r="U201" s="2" t="inlineStr"/>
    </row>
    <row r="202" ht="15" customHeight="1">
      <c r="A202" t="inlineStr">
        <is>
          <t>A 16174-2023</t>
        </is>
      </c>
      <c r="B202" t="inlineStr">
        <is>
          <t>avverkningsanmälan</t>
        </is>
      </c>
      <c r="C202" t="inlineStr">
        <is>
          <t>Avverkning för att bevara och utveckla /försöksver</t>
        </is>
      </c>
      <c r="D202" s="1" t="n">
        <v>45027</v>
      </c>
      <c r="E202" s="1" t="n">
        <v>46218</v>
      </c>
      <c r="F202" t="inlineStr">
        <is>
          <t>DALARNAS LÄN</t>
        </is>
      </c>
      <c r="G202" t="inlineStr">
        <is>
          <t>GAGNEF</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52426-2024</t>
        </is>
      </c>
      <c r="B203" t="inlineStr">
        <is>
          <t>avverkningsanmälan</t>
        </is>
      </c>
      <c r="C203" t="inlineStr">
        <is>
          <t>Föryngringsavverkning</t>
        </is>
      </c>
      <c r="D203" s="1" t="n">
        <v>45608</v>
      </c>
      <c r="E203" s="1" t="n">
        <v>46218</v>
      </c>
      <c r="F203" t="inlineStr">
        <is>
          <t>DALARNAS LÄN</t>
        </is>
      </c>
      <c r="G203" t="inlineStr">
        <is>
          <t>GAGNEF</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5682-2026</t>
        </is>
      </c>
      <c r="B204" t="inlineStr">
        <is>
          <t>avverkningsanmälan</t>
        </is>
      </c>
      <c r="C204" t="inlineStr">
        <is>
          <t>Föryngringsavverkning</t>
        </is>
      </c>
      <c r="D204" s="1" t="n">
        <v>46051</v>
      </c>
      <c r="E204" s="1" t="n">
        <v>46218</v>
      </c>
      <c r="F204" t="inlineStr">
        <is>
          <t>DALARNAS LÄN</t>
        </is>
      </c>
      <c r="G204" t="inlineStr">
        <is>
          <t>GAGNEF</t>
        </is>
      </c>
      <c r="I204" t="n">
        <v>1.3</v>
      </c>
      <c r="J204" t="n">
        <v>0</v>
      </c>
      <c r="K204" t="n">
        <v>0</v>
      </c>
      <c r="L204" t="n">
        <v>0</v>
      </c>
      <c r="M204" t="n">
        <v>0</v>
      </c>
      <c r="N204" t="n">
        <v>0</v>
      </c>
      <c r="O204" t="n">
        <v>0</v>
      </c>
      <c r="P204" t="n">
        <v>0</v>
      </c>
      <c r="Q204" t="n">
        <v>0</v>
      </c>
      <c r="R204" t="n">
        <v>0</v>
      </c>
      <c r="S204" t="n">
        <v>0</v>
      </c>
      <c r="T204" t="n">
        <v>0</v>
      </c>
      <c r="U204" s="2" t="inlineStr"/>
    </row>
    <row r="205" ht="15" customHeight="1">
      <c r="A205" t="inlineStr">
        <is>
          <t>A 34084-2025</t>
        </is>
      </c>
      <c r="B205" t="inlineStr">
        <is>
          <t>avverkningsanmälan</t>
        </is>
      </c>
      <c r="C205" t="inlineStr">
        <is>
          <t>Avverkning för annat ändamål</t>
        </is>
      </c>
      <c r="D205" s="1" t="n">
        <v>45845</v>
      </c>
      <c r="E205" s="1" t="n">
        <v>46218</v>
      </c>
      <c r="F205" t="inlineStr">
        <is>
          <t>DALARNAS LÄN</t>
        </is>
      </c>
      <c r="G205" t="inlineStr">
        <is>
          <t>GAGNEF</t>
        </is>
      </c>
      <c r="I205" t="n">
        <v>1.9</v>
      </c>
      <c r="J205" t="n">
        <v>0</v>
      </c>
      <c r="K205" t="n">
        <v>0</v>
      </c>
      <c r="L205" t="n">
        <v>0</v>
      </c>
      <c r="M205" t="n">
        <v>0</v>
      </c>
      <c r="N205" t="n">
        <v>0</v>
      </c>
      <c r="O205" t="n">
        <v>0</v>
      </c>
      <c r="P205" t="n">
        <v>0</v>
      </c>
      <c r="Q205" t="n">
        <v>0</v>
      </c>
      <c r="R205" t="n">
        <v>0</v>
      </c>
      <c r="S205" t="n">
        <v>0</v>
      </c>
      <c r="T205" t="n">
        <v>0</v>
      </c>
      <c r="U205" s="2" t="inlineStr"/>
    </row>
    <row r="206" ht="15" customHeight="1">
      <c r="A206" t="inlineStr">
        <is>
          <t>A 23489-2024</t>
        </is>
      </c>
      <c r="B206" t="inlineStr">
        <is>
          <t>avverkningsanmälan</t>
        </is>
      </c>
      <c r="C206" t="inlineStr">
        <is>
          <t>Föryngringsavverkning</t>
        </is>
      </c>
      <c r="D206" s="1" t="n">
        <v>45453</v>
      </c>
      <c r="E206" s="1" t="n">
        <v>46218</v>
      </c>
      <c r="F206" t="inlineStr">
        <is>
          <t>DALARNAS LÄN</t>
        </is>
      </c>
      <c r="G206" t="inlineStr">
        <is>
          <t>GAGNEF</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34793-2025</t>
        </is>
      </c>
      <c r="B207" t="inlineStr">
        <is>
          <t>avverkningsanmälan</t>
        </is>
      </c>
      <c r="C207" t="inlineStr">
        <is>
          <t>Avverkning för annat ändamål</t>
        </is>
      </c>
      <c r="D207" s="1" t="n">
        <v>45848</v>
      </c>
      <c r="E207" s="1" t="n">
        <v>46218</v>
      </c>
      <c r="F207" t="inlineStr">
        <is>
          <t>DALARNAS LÄN</t>
        </is>
      </c>
      <c r="G207" t="inlineStr">
        <is>
          <t>GAGNEF</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1421-2026</t>
        </is>
      </c>
      <c r="B208" t="inlineStr">
        <is>
          <t>avverkningsanmälan</t>
        </is>
      </c>
      <c r="C208" t="inlineStr">
        <is>
          <t>Föryngringsavverkning</t>
        </is>
      </c>
      <c r="D208" s="1" t="n">
        <v>46031</v>
      </c>
      <c r="E208" s="1" t="n">
        <v>46218</v>
      </c>
      <c r="F208" t="inlineStr">
        <is>
          <t>DALARNAS LÄN</t>
        </is>
      </c>
      <c r="G208" t="inlineStr">
        <is>
          <t>GAGNEF</t>
        </is>
      </c>
      <c r="I208" t="n">
        <v>6.6</v>
      </c>
      <c r="J208" t="n">
        <v>0</v>
      </c>
      <c r="K208" t="n">
        <v>0</v>
      </c>
      <c r="L208" t="n">
        <v>0</v>
      </c>
      <c r="M208" t="n">
        <v>0</v>
      </c>
      <c r="N208" t="n">
        <v>0</v>
      </c>
      <c r="O208" t="n">
        <v>0</v>
      </c>
      <c r="P208" t="n">
        <v>0</v>
      </c>
      <c r="Q208" t="n">
        <v>0</v>
      </c>
      <c r="R208" t="n">
        <v>0</v>
      </c>
      <c r="S208" t="n">
        <v>0</v>
      </c>
      <c r="T208" t="n">
        <v>0</v>
      </c>
      <c r="U208" s="2" t="inlineStr"/>
    </row>
    <row r="209" ht="15" customHeight="1">
      <c r="A209" t="inlineStr">
        <is>
          <t>A 60308-2024</t>
        </is>
      </c>
      <c r="B209" t="inlineStr">
        <is>
          <t>avverkningsanmälan</t>
        </is>
      </c>
      <c r="C209" t="inlineStr">
        <is>
          <t>Föryngringsavverkning</t>
        </is>
      </c>
      <c r="D209" s="1" t="n">
        <v>45643</v>
      </c>
      <c r="E209" s="1" t="n">
        <v>46218</v>
      </c>
      <c r="F209" t="inlineStr">
        <is>
          <t>DALARNAS LÄN</t>
        </is>
      </c>
      <c r="G209" t="inlineStr">
        <is>
          <t>GAGNEF</t>
        </is>
      </c>
      <c r="I209" t="n">
        <v>2.7</v>
      </c>
      <c r="J209" t="n">
        <v>0</v>
      </c>
      <c r="K209" t="n">
        <v>0</v>
      </c>
      <c r="L209" t="n">
        <v>0</v>
      </c>
      <c r="M209" t="n">
        <v>0</v>
      </c>
      <c r="N209" t="n">
        <v>0</v>
      </c>
      <c r="O209" t="n">
        <v>0</v>
      </c>
      <c r="P209" t="n">
        <v>0</v>
      </c>
      <c r="Q209" t="n">
        <v>0</v>
      </c>
      <c r="R209" t="n">
        <v>0</v>
      </c>
      <c r="S209" t="n">
        <v>0</v>
      </c>
      <c r="T209" t="n">
        <v>0</v>
      </c>
      <c r="U209" s="2" t="inlineStr"/>
    </row>
    <row r="210" ht="15" customHeight="1">
      <c r="A210" t="inlineStr">
        <is>
          <t>A 4826-2026</t>
        </is>
      </c>
      <c r="B210" t="inlineStr">
        <is>
          <t>avverkningsanmälan</t>
        </is>
      </c>
      <c r="C210" t="inlineStr">
        <is>
          <t>Föryngringsavverkning</t>
        </is>
      </c>
      <c r="D210" s="1" t="n">
        <v>46048</v>
      </c>
      <c r="E210" s="1" t="n">
        <v>46218</v>
      </c>
      <c r="F210" t="inlineStr">
        <is>
          <t>DALARNAS LÄN</t>
        </is>
      </c>
      <c r="G210" t="inlineStr">
        <is>
          <t>GAGNEF</t>
        </is>
      </c>
      <c r="I210" t="n">
        <v>8.699999999999999</v>
      </c>
      <c r="J210" t="n">
        <v>0</v>
      </c>
      <c r="K210" t="n">
        <v>0</v>
      </c>
      <c r="L210" t="n">
        <v>0</v>
      </c>
      <c r="M210" t="n">
        <v>0</v>
      </c>
      <c r="N210" t="n">
        <v>0</v>
      </c>
      <c r="O210" t="n">
        <v>0</v>
      </c>
      <c r="P210" t="n">
        <v>0</v>
      </c>
      <c r="Q210" t="n">
        <v>0</v>
      </c>
      <c r="R210" t="n">
        <v>0</v>
      </c>
      <c r="S210" t="n">
        <v>0</v>
      </c>
      <c r="T210" t="n">
        <v>0</v>
      </c>
      <c r="U210" s="2" t="inlineStr"/>
    </row>
    <row r="211" ht="15" customHeight="1">
      <c r="A211" t="inlineStr">
        <is>
          <t>A 10744-2022</t>
        </is>
      </c>
      <c r="B211" t="inlineStr">
        <is>
          <t>avverkningsanmälan</t>
        </is>
      </c>
      <c r="C211" t="inlineStr">
        <is>
          <t>Föryngringsavverkning</t>
        </is>
      </c>
      <c r="D211" s="1" t="n">
        <v>44627</v>
      </c>
      <c r="E211" s="1" t="n">
        <v>46218</v>
      </c>
      <c r="F211" t="inlineStr">
        <is>
          <t>DALARNAS LÄN</t>
        </is>
      </c>
      <c r="G211" t="inlineStr">
        <is>
          <t>GAGNEF</t>
        </is>
      </c>
      <c r="I211" t="n">
        <v>5.8</v>
      </c>
      <c r="J211" t="n">
        <v>0</v>
      </c>
      <c r="K211" t="n">
        <v>0</v>
      </c>
      <c r="L211" t="n">
        <v>0</v>
      </c>
      <c r="M211" t="n">
        <v>0</v>
      </c>
      <c r="N211" t="n">
        <v>0</v>
      </c>
      <c r="O211" t="n">
        <v>0</v>
      </c>
      <c r="P211" t="n">
        <v>0</v>
      </c>
      <c r="Q211" t="n">
        <v>0</v>
      </c>
      <c r="R211" t="n">
        <v>0</v>
      </c>
      <c r="S211" t="n">
        <v>0</v>
      </c>
      <c r="T211" t="n">
        <v>0</v>
      </c>
      <c r="U211" s="2" t="inlineStr"/>
    </row>
    <row r="212" ht="15" customHeight="1">
      <c r="A212" t="inlineStr">
        <is>
          <t>A 44040-2024</t>
        </is>
      </c>
      <c r="B212" t="inlineStr">
        <is>
          <t>avverkningsanmälan</t>
        </is>
      </c>
      <c r="C212" t="inlineStr">
        <is>
          <t>Föryngringsavverkning</t>
        </is>
      </c>
      <c r="D212" s="1" t="n">
        <v>45572</v>
      </c>
      <c r="E212" s="1" t="n">
        <v>46218</v>
      </c>
      <c r="F212" t="inlineStr">
        <is>
          <t>DALARNAS LÄN</t>
        </is>
      </c>
      <c r="G212" t="inlineStr">
        <is>
          <t>GAGNEF</t>
        </is>
      </c>
      <c r="I212" t="n">
        <v>5.1</v>
      </c>
      <c r="J212" t="n">
        <v>0</v>
      </c>
      <c r="K212" t="n">
        <v>0</v>
      </c>
      <c r="L212" t="n">
        <v>0</v>
      </c>
      <c r="M212" t="n">
        <v>0</v>
      </c>
      <c r="N212" t="n">
        <v>0</v>
      </c>
      <c r="O212" t="n">
        <v>0</v>
      </c>
      <c r="P212" t="n">
        <v>0</v>
      </c>
      <c r="Q212" t="n">
        <v>0</v>
      </c>
      <c r="R212" t="n">
        <v>0</v>
      </c>
      <c r="S212" t="n">
        <v>0</v>
      </c>
      <c r="T212" t="n">
        <v>0</v>
      </c>
      <c r="U212" s="2" t="inlineStr"/>
    </row>
    <row r="213" ht="15" customHeight="1">
      <c r="A213" t="inlineStr">
        <is>
          <t>A 20455-2026</t>
        </is>
      </c>
      <c r="B213" t="inlineStr">
        <is>
          <t>avverkningsanmälan</t>
        </is>
      </c>
      <c r="C213" t="inlineStr">
        <is>
          <t>Föryngringsavverkning</t>
        </is>
      </c>
      <c r="D213" s="1" t="n">
        <v>46140</v>
      </c>
      <c r="E213" s="1" t="n">
        <v>46218</v>
      </c>
      <c r="F213" t="inlineStr">
        <is>
          <t>DALARNAS LÄN</t>
        </is>
      </c>
      <c r="G213" t="inlineStr">
        <is>
          <t>GAGNEF</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42308-2021</t>
        </is>
      </c>
      <c r="B214" t="inlineStr">
        <is>
          <t>avverkningsanmälan</t>
        </is>
      </c>
      <c r="C214" t="inlineStr">
        <is>
          <t>Föryngringsavverkning</t>
        </is>
      </c>
      <c r="D214" s="1" t="n">
        <v>44427</v>
      </c>
      <c r="E214" s="1" t="n">
        <v>46218</v>
      </c>
      <c r="F214" t="inlineStr">
        <is>
          <t>DALARNAS LÄN</t>
        </is>
      </c>
      <c r="G214" t="inlineStr">
        <is>
          <t>GAGNEF</t>
        </is>
      </c>
      <c r="H214" t="inlineStr">
        <is>
          <t>Bergvik skog väst AB</t>
        </is>
      </c>
      <c r="I214" t="n">
        <v>3.3</v>
      </c>
      <c r="J214" t="n">
        <v>0</v>
      </c>
      <c r="K214" t="n">
        <v>0</v>
      </c>
      <c r="L214" t="n">
        <v>0</v>
      </c>
      <c r="M214" t="n">
        <v>0</v>
      </c>
      <c r="N214" t="n">
        <v>0</v>
      </c>
      <c r="O214" t="n">
        <v>0</v>
      </c>
      <c r="P214" t="n">
        <v>0</v>
      </c>
      <c r="Q214" t="n">
        <v>0</v>
      </c>
      <c r="R214" t="n">
        <v>0</v>
      </c>
      <c r="S214" t="n">
        <v>0</v>
      </c>
      <c r="T214" t="n">
        <v>0</v>
      </c>
      <c r="U214" s="2" t="inlineStr"/>
    </row>
    <row r="215" ht="15" customHeight="1">
      <c r="A215" t="inlineStr">
        <is>
          <t>A 59580-2025</t>
        </is>
      </c>
      <c r="B215" t="inlineStr">
        <is>
          <t>avverkningsanmälan</t>
        </is>
      </c>
      <c r="C215" t="inlineStr">
        <is>
          <t>Föryngringsavverkning</t>
        </is>
      </c>
      <c r="D215" s="1" t="n">
        <v>45992</v>
      </c>
      <c r="E215" s="1" t="n">
        <v>46218</v>
      </c>
      <c r="F215" t="inlineStr">
        <is>
          <t>DALARNAS LÄN</t>
        </is>
      </c>
      <c r="G215" t="inlineStr">
        <is>
          <t>GAGNEF</t>
        </is>
      </c>
      <c r="I215" t="n">
        <v>4.5</v>
      </c>
      <c r="J215" t="n">
        <v>0</v>
      </c>
      <c r="K215" t="n">
        <v>0</v>
      </c>
      <c r="L215" t="n">
        <v>0</v>
      </c>
      <c r="M215" t="n">
        <v>0</v>
      </c>
      <c r="N215" t="n">
        <v>0</v>
      </c>
      <c r="O215" t="n">
        <v>0</v>
      </c>
      <c r="P215" t="n">
        <v>0</v>
      </c>
      <c r="Q215" t="n">
        <v>0</v>
      </c>
      <c r="R215" t="n">
        <v>0</v>
      </c>
      <c r="S215" t="n">
        <v>0</v>
      </c>
      <c r="T215" t="n">
        <v>0</v>
      </c>
      <c r="U215" s="2" t="inlineStr"/>
    </row>
    <row r="216" ht="15" customHeight="1">
      <c r="A216" t="inlineStr">
        <is>
          <t>A 45521-2024</t>
        </is>
      </c>
      <c r="B216" t="inlineStr">
        <is>
          <t>avverkningsanmälan</t>
        </is>
      </c>
      <c r="C216" t="inlineStr">
        <is>
          <t>Föryngringsavverkning</t>
        </is>
      </c>
      <c r="D216" s="1" t="n">
        <v>45578</v>
      </c>
      <c r="E216" s="1" t="n">
        <v>46218</v>
      </c>
      <c r="F216" t="inlineStr">
        <is>
          <t>DALARNAS LÄN</t>
        </is>
      </c>
      <c r="G216" t="inlineStr">
        <is>
          <t>GAGNEF</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41365-2023</t>
        </is>
      </c>
      <c r="B217" t="inlineStr">
        <is>
          <t>avverkningsanmälan</t>
        </is>
      </c>
      <c r="C217" t="inlineStr">
        <is>
          <t>Föryngringsavverkning</t>
        </is>
      </c>
      <c r="D217" s="1" t="n">
        <v>45174</v>
      </c>
      <c r="E217" s="1" t="n">
        <v>46218</v>
      </c>
      <c r="F217" t="inlineStr">
        <is>
          <t>DALARNAS LÄN</t>
        </is>
      </c>
      <c r="G217" t="inlineStr">
        <is>
          <t>GAGNEF</t>
        </is>
      </c>
      <c r="I217" t="n">
        <v>0.8</v>
      </c>
      <c r="J217" t="n">
        <v>0</v>
      </c>
      <c r="K217" t="n">
        <v>0</v>
      </c>
      <c r="L217" t="n">
        <v>0</v>
      </c>
      <c r="M217" t="n">
        <v>0</v>
      </c>
      <c r="N217" t="n">
        <v>0</v>
      </c>
      <c r="O217" t="n">
        <v>0</v>
      </c>
      <c r="P217" t="n">
        <v>0</v>
      </c>
      <c r="Q217" t="n">
        <v>0</v>
      </c>
      <c r="R217" t="n">
        <v>0</v>
      </c>
      <c r="S217" t="n">
        <v>0</v>
      </c>
      <c r="T217" t="n">
        <v>0</v>
      </c>
      <c r="U217" s="2" t="inlineStr"/>
    </row>
    <row r="218" ht="15" customHeight="1">
      <c r="A218" t="inlineStr">
        <is>
          <t>A 2505-2024</t>
        </is>
      </c>
      <c r="B218" t="inlineStr">
        <is>
          <t>avverkningsanmälan</t>
        </is>
      </c>
      <c r="C218" t="inlineStr">
        <is>
          <t>Föryngringsavverkning</t>
        </is>
      </c>
      <c r="D218" s="1" t="n">
        <v>45313</v>
      </c>
      <c r="E218" s="1" t="n">
        <v>46218</v>
      </c>
      <c r="F218" t="inlineStr">
        <is>
          <t>DALARNAS LÄN</t>
        </is>
      </c>
      <c r="G218" t="inlineStr">
        <is>
          <t>GAGNEF</t>
        </is>
      </c>
      <c r="I218" t="n">
        <v>5.1</v>
      </c>
      <c r="J218" t="n">
        <v>0</v>
      </c>
      <c r="K218" t="n">
        <v>0</v>
      </c>
      <c r="L218" t="n">
        <v>0</v>
      </c>
      <c r="M218" t="n">
        <v>0</v>
      </c>
      <c r="N218" t="n">
        <v>0</v>
      </c>
      <c r="O218" t="n">
        <v>0</v>
      </c>
      <c r="P218" t="n">
        <v>0</v>
      </c>
      <c r="Q218" t="n">
        <v>0</v>
      </c>
      <c r="R218" t="n">
        <v>0</v>
      </c>
      <c r="S218" t="n">
        <v>0</v>
      </c>
      <c r="T218" t="n">
        <v>0</v>
      </c>
      <c r="U218" s="2" t="inlineStr"/>
    </row>
    <row r="219" ht="15" customHeight="1">
      <c r="A219" t="inlineStr">
        <is>
          <t>A 8970-2026</t>
        </is>
      </c>
      <c r="B219" t="inlineStr">
        <is>
          <t>avverkningsanmälan</t>
        </is>
      </c>
      <c r="C219" t="inlineStr">
        <is>
          <t>Föryngringsavverkning</t>
        </is>
      </c>
      <c r="D219" s="1" t="n">
        <v>46069</v>
      </c>
      <c r="E219" s="1" t="n">
        <v>46218</v>
      </c>
      <c r="F219" t="inlineStr">
        <is>
          <t>DALARNAS LÄN</t>
        </is>
      </c>
      <c r="G219" t="inlineStr">
        <is>
          <t>GAGNEF</t>
        </is>
      </c>
      <c r="I219" t="n">
        <v>2.6</v>
      </c>
      <c r="J219" t="n">
        <v>0</v>
      </c>
      <c r="K219" t="n">
        <v>0</v>
      </c>
      <c r="L219" t="n">
        <v>0</v>
      </c>
      <c r="M219" t="n">
        <v>0</v>
      </c>
      <c r="N219" t="n">
        <v>0</v>
      </c>
      <c r="O219" t="n">
        <v>0</v>
      </c>
      <c r="P219" t="n">
        <v>0</v>
      </c>
      <c r="Q219" t="n">
        <v>0</v>
      </c>
      <c r="R219" t="n">
        <v>0</v>
      </c>
      <c r="S219" t="n">
        <v>0</v>
      </c>
      <c r="T219" t="n">
        <v>0</v>
      </c>
      <c r="U219" s="2" t="inlineStr"/>
    </row>
    <row r="220" ht="15" customHeight="1">
      <c r="A220" t="inlineStr">
        <is>
          <t>A 5347-2025</t>
        </is>
      </c>
      <c r="B220" t="inlineStr">
        <is>
          <t>avverkningsanmälan</t>
        </is>
      </c>
      <c r="C220" t="inlineStr">
        <is>
          <t>Föryngringsavverkning</t>
        </is>
      </c>
      <c r="D220" s="1" t="n">
        <v>45692</v>
      </c>
      <c r="E220" s="1" t="n">
        <v>46218</v>
      </c>
      <c r="F220" t="inlineStr">
        <is>
          <t>DALARNAS LÄN</t>
        </is>
      </c>
      <c r="G220" t="inlineStr">
        <is>
          <t>GAGNEF</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43713-2025</t>
        </is>
      </c>
      <c r="B221" t="inlineStr">
        <is>
          <t>avverkningsanmälan</t>
        </is>
      </c>
      <c r="C221" t="inlineStr">
        <is>
          <t>Föryngringsavverkning</t>
        </is>
      </c>
      <c r="D221" s="1" t="n">
        <v>45912</v>
      </c>
      <c r="E221" s="1" t="n">
        <v>46218</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7344-2024</t>
        </is>
      </c>
      <c r="B222" t="inlineStr">
        <is>
          <t>avverkningsanmälan</t>
        </is>
      </c>
      <c r="C222" t="inlineStr">
        <is>
          <t>Föryngringsavverkning</t>
        </is>
      </c>
      <c r="D222" s="1" t="n">
        <v>45345</v>
      </c>
      <c r="E222" s="1" t="n">
        <v>46218</v>
      </c>
      <c r="F222" t="inlineStr">
        <is>
          <t>DALARNAS LÄN</t>
        </is>
      </c>
      <c r="G222" t="inlineStr">
        <is>
          <t>GAGNEF</t>
        </is>
      </c>
      <c r="I222" t="n">
        <v>2.3</v>
      </c>
      <c r="J222" t="n">
        <v>0</v>
      </c>
      <c r="K222" t="n">
        <v>0</v>
      </c>
      <c r="L222" t="n">
        <v>0</v>
      </c>
      <c r="M222" t="n">
        <v>0</v>
      </c>
      <c r="N222" t="n">
        <v>0</v>
      </c>
      <c r="O222" t="n">
        <v>0</v>
      </c>
      <c r="P222" t="n">
        <v>0</v>
      </c>
      <c r="Q222" t="n">
        <v>0</v>
      </c>
      <c r="R222" t="n">
        <v>0</v>
      </c>
      <c r="S222" t="n">
        <v>0</v>
      </c>
      <c r="T222" t="n">
        <v>0</v>
      </c>
      <c r="U222" s="2" t="inlineStr"/>
    </row>
    <row r="223" ht="15" customHeight="1">
      <c r="A223" t="inlineStr">
        <is>
          <t>A 33168-2022</t>
        </is>
      </c>
      <c r="B223" t="inlineStr">
        <is>
          <t>avverkningsanmälan</t>
        </is>
      </c>
      <c r="C223" t="inlineStr">
        <is>
          <t>Föryngringsavverkning</t>
        </is>
      </c>
      <c r="D223" s="1" t="n">
        <v>44785</v>
      </c>
      <c r="E223" s="1" t="n">
        <v>46218</v>
      </c>
      <c r="F223" t="inlineStr">
        <is>
          <t>DALARNAS LÄN</t>
        </is>
      </c>
      <c r="G223" t="inlineStr">
        <is>
          <t>GAGNEF</t>
        </is>
      </c>
      <c r="H223" t="inlineStr">
        <is>
          <t>Bergvik skog väst AB</t>
        </is>
      </c>
      <c r="I223" t="n">
        <v>6.5</v>
      </c>
      <c r="J223" t="n">
        <v>0</v>
      </c>
      <c r="K223" t="n">
        <v>0</v>
      </c>
      <c r="L223" t="n">
        <v>0</v>
      </c>
      <c r="M223" t="n">
        <v>0</v>
      </c>
      <c r="N223" t="n">
        <v>0</v>
      </c>
      <c r="O223" t="n">
        <v>0</v>
      </c>
      <c r="P223" t="n">
        <v>0</v>
      </c>
      <c r="Q223" t="n">
        <v>0</v>
      </c>
      <c r="R223" t="n">
        <v>0</v>
      </c>
      <c r="S223" t="n">
        <v>0</v>
      </c>
      <c r="T223" t="n">
        <v>0</v>
      </c>
      <c r="U223" s="2" t="inlineStr"/>
    </row>
    <row r="224" ht="15" customHeight="1">
      <c r="A224" t="inlineStr">
        <is>
          <t>A 4105-2026</t>
        </is>
      </c>
      <c r="B224" t="inlineStr">
        <is>
          <t>avverkningsanmälan</t>
        </is>
      </c>
      <c r="C224" t="inlineStr">
        <is>
          <t>Föryngringsavverkning</t>
        </is>
      </c>
      <c r="D224" s="1" t="n">
        <v>46044</v>
      </c>
      <c r="E224" s="1" t="n">
        <v>46218</v>
      </c>
      <c r="F224" t="inlineStr">
        <is>
          <t>DALARNAS LÄN</t>
        </is>
      </c>
      <c r="G224" t="inlineStr">
        <is>
          <t>GAGNEF</t>
        </is>
      </c>
      <c r="H224" t="inlineStr">
        <is>
          <t>Bergvik skog väst AB</t>
        </is>
      </c>
      <c r="I224" t="n">
        <v>5.5</v>
      </c>
      <c r="J224" t="n">
        <v>0</v>
      </c>
      <c r="K224" t="n">
        <v>0</v>
      </c>
      <c r="L224" t="n">
        <v>0</v>
      </c>
      <c r="M224" t="n">
        <v>0</v>
      </c>
      <c r="N224" t="n">
        <v>0</v>
      </c>
      <c r="O224" t="n">
        <v>0</v>
      </c>
      <c r="P224" t="n">
        <v>0</v>
      </c>
      <c r="Q224" t="n">
        <v>0</v>
      </c>
      <c r="R224" t="n">
        <v>0</v>
      </c>
      <c r="S224" t="n">
        <v>0</v>
      </c>
      <c r="T224" t="n">
        <v>0</v>
      </c>
      <c r="U224" s="2" t="inlineStr"/>
    </row>
    <row r="225" ht="15" customHeight="1">
      <c r="A225" t="inlineStr">
        <is>
          <t>A 64925-2021</t>
        </is>
      </c>
      <c r="B225" t="inlineStr">
        <is>
          <t>avverkningsanmälan</t>
        </is>
      </c>
      <c r="C225" t="inlineStr">
        <is>
          <t>Avverkning för att bevara och utveckla /försöksver</t>
        </is>
      </c>
      <c r="D225" s="1" t="n">
        <v>44512</v>
      </c>
      <c r="E225" s="1" t="n">
        <v>46218</v>
      </c>
      <c r="F225" t="inlineStr">
        <is>
          <t>DALARNAS LÄN</t>
        </is>
      </c>
      <c r="G225" t="inlineStr">
        <is>
          <t>GAGNEF</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11397-2026</t>
        </is>
      </c>
      <c r="B226" t="inlineStr">
        <is>
          <t>avverkningsanmälan</t>
        </is>
      </c>
      <c r="C226" t="inlineStr">
        <is>
          <t>Föryngringsavverkning</t>
        </is>
      </c>
      <c r="D226" s="1" t="n">
        <v>46083</v>
      </c>
      <c r="E226" s="1" t="n">
        <v>46218</v>
      </c>
      <c r="F226" t="inlineStr">
        <is>
          <t>DALARNAS LÄN</t>
        </is>
      </c>
      <c r="G226" t="inlineStr">
        <is>
          <t>GAGNEF</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34467-2024</t>
        </is>
      </c>
      <c r="B227" t="inlineStr">
        <is>
          <t>avverkningsanmälan</t>
        </is>
      </c>
      <c r="C227" t="inlineStr">
        <is>
          <t>Föryngringsavverkning</t>
        </is>
      </c>
      <c r="D227" s="1" t="n">
        <v>45525</v>
      </c>
      <c r="E227" s="1" t="n">
        <v>46218</v>
      </c>
      <c r="F227" t="inlineStr">
        <is>
          <t>DALARNAS LÄN</t>
        </is>
      </c>
      <c r="G227" t="inlineStr">
        <is>
          <t>GAGNEF</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25024-2023</t>
        </is>
      </c>
      <c r="B228" t="inlineStr">
        <is>
          <t>avverkningsanmälan</t>
        </is>
      </c>
      <c r="C228" t="inlineStr">
        <is>
          <t>Föryngringsavverkning</t>
        </is>
      </c>
      <c r="D228" s="1" t="n">
        <v>45085</v>
      </c>
      <c r="E228" s="1" t="n">
        <v>46218</v>
      </c>
      <c r="F228" t="inlineStr">
        <is>
          <t>DALARNAS LÄN</t>
        </is>
      </c>
      <c r="G228" t="inlineStr">
        <is>
          <t>GAGNEF</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60572-2025</t>
        </is>
      </c>
      <c r="B229" t="inlineStr">
        <is>
          <t>avverkningsanmälan</t>
        </is>
      </c>
      <c r="C229" t="inlineStr">
        <is>
          <t>Föryngringsavverkning</t>
        </is>
      </c>
      <c r="D229" s="1" t="n">
        <v>45995</v>
      </c>
      <c r="E229" s="1" t="n">
        <v>46218</v>
      </c>
      <c r="F229" t="inlineStr">
        <is>
          <t>DALARNAS LÄN</t>
        </is>
      </c>
      <c r="G229" t="inlineStr">
        <is>
          <t>GAGNEF</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26300-2026</t>
        </is>
      </c>
      <c r="B230" t="inlineStr">
        <is>
          <t>avverkningsanmälan</t>
        </is>
      </c>
      <c r="C230" t="inlineStr">
        <is>
          <t>Föryngringsavverkning</t>
        </is>
      </c>
      <c r="D230" s="1" t="n">
        <v>46182</v>
      </c>
      <c r="E230" s="1" t="n">
        <v>46218</v>
      </c>
      <c r="F230" t="inlineStr">
        <is>
          <t>DALARNAS LÄN</t>
        </is>
      </c>
      <c r="G230" t="inlineStr">
        <is>
          <t>GAGNEF</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3816-2025</t>
        </is>
      </c>
      <c r="B231" t="inlineStr">
        <is>
          <t>avverkningsanmälan</t>
        </is>
      </c>
      <c r="C231" t="inlineStr">
        <is>
          <t>Föryngringsavverkning</t>
        </is>
      </c>
      <c r="D231" s="1" t="n">
        <v>45681</v>
      </c>
      <c r="E231" s="1" t="n">
        <v>46218</v>
      </c>
      <c r="F231" t="inlineStr">
        <is>
          <t>DALARNAS LÄN</t>
        </is>
      </c>
      <c r="G231" t="inlineStr">
        <is>
          <t>GAGNEF</t>
        </is>
      </c>
      <c r="I231" t="n">
        <v>6.1</v>
      </c>
      <c r="J231" t="n">
        <v>0</v>
      </c>
      <c r="K231" t="n">
        <v>0</v>
      </c>
      <c r="L231" t="n">
        <v>0</v>
      </c>
      <c r="M231" t="n">
        <v>0</v>
      </c>
      <c r="N231" t="n">
        <v>0</v>
      </c>
      <c r="O231" t="n">
        <v>0</v>
      </c>
      <c r="P231" t="n">
        <v>0</v>
      </c>
      <c r="Q231" t="n">
        <v>0</v>
      </c>
      <c r="R231" t="n">
        <v>0</v>
      </c>
      <c r="S231" t="n">
        <v>0</v>
      </c>
      <c r="T231" t="n">
        <v>0</v>
      </c>
      <c r="U231" s="2" t="inlineStr"/>
    </row>
    <row r="232" ht="15" customHeight="1">
      <c r="A232" t="inlineStr">
        <is>
          <t>A 337-2025</t>
        </is>
      </c>
      <c r="B232" t="inlineStr">
        <is>
          <t>avverkningsanmälan</t>
        </is>
      </c>
      <c r="C232" t="inlineStr">
        <is>
          <t>Föryngringsavverkning</t>
        </is>
      </c>
      <c r="D232" s="1" t="n">
        <v>45660</v>
      </c>
      <c r="E232" s="1" t="n">
        <v>46218</v>
      </c>
      <c r="F232" t="inlineStr">
        <is>
          <t>DALARNAS LÄN</t>
        </is>
      </c>
      <c r="G232" t="inlineStr">
        <is>
          <t>GAGNEF</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17854-2024</t>
        </is>
      </c>
      <c r="B233" t="inlineStr">
        <is>
          <t>avverkningsanmälan</t>
        </is>
      </c>
      <c r="C233" t="inlineStr">
        <is>
          <t>Föryngringsavverkning</t>
        </is>
      </c>
      <c r="D233" s="1" t="n">
        <v>45419</v>
      </c>
      <c r="E233" s="1" t="n">
        <v>46218</v>
      </c>
      <c r="F233" t="inlineStr">
        <is>
          <t>DALARNAS LÄN</t>
        </is>
      </c>
      <c r="G233" t="inlineStr">
        <is>
          <t>GAGNEF</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17710-2023</t>
        </is>
      </c>
      <c r="B234" t="inlineStr">
        <is>
          <t>avverkningsanmälan</t>
        </is>
      </c>
      <c r="C234" t="inlineStr">
        <is>
          <t>Föryngringsavverkning</t>
        </is>
      </c>
      <c r="D234" s="1" t="n">
        <v>45037</v>
      </c>
      <c r="E234" s="1" t="n">
        <v>46218</v>
      </c>
      <c r="F234" t="inlineStr">
        <is>
          <t>DALARNAS LÄN</t>
        </is>
      </c>
      <c r="G234" t="inlineStr">
        <is>
          <t>GAGNEF</t>
        </is>
      </c>
      <c r="I234" t="n">
        <v>10.7</v>
      </c>
      <c r="J234" t="n">
        <v>0</v>
      </c>
      <c r="K234" t="n">
        <v>0</v>
      </c>
      <c r="L234" t="n">
        <v>0</v>
      </c>
      <c r="M234" t="n">
        <v>0</v>
      </c>
      <c r="N234" t="n">
        <v>0</v>
      </c>
      <c r="O234" t="n">
        <v>0</v>
      </c>
      <c r="P234" t="n">
        <v>0</v>
      </c>
      <c r="Q234" t="n">
        <v>0</v>
      </c>
      <c r="R234" t="n">
        <v>0</v>
      </c>
      <c r="S234" t="n">
        <v>0</v>
      </c>
      <c r="T234" t="n">
        <v>0</v>
      </c>
      <c r="U234" s="2" t="inlineStr"/>
    </row>
    <row r="235" ht="15" customHeight="1">
      <c r="A235" t="inlineStr">
        <is>
          <t>A 31804-2024</t>
        </is>
      </c>
      <c r="B235" t="inlineStr">
        <is>
          <t>avverkningsanmälan</t>
        </is>
      </c>
      <c r="C235" t="inlineStr">
        <is>
          <t>Föryngringsavverkning</t>
        </is>
      </c>
      <c r="D235" s="1" t="n">
        <v>45509</v>
      </c>
      <c r="E235" s="1" t="n">
        <v>46218</v>
      </c>
      <c r="F235" t="inlineStr">
        <is>
          <t>DALARNAS LÄN</t>
        </is>
      </c>
      <c r="G235" t="inlineStr">
        <is>
          <t>GAGNEF</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27096-2026</t>
        </is>
      </c>
      <c r="B236" t="inlineStr">
        <is>
          <t>avverkningsanmälan</t>
        </is>
      </c>
      <c r="C236" t="inlineStr">
        <is>
          <t>Föryngringsavverkning</t>
        </is>
      </c>
      <c r="D236" s="1" t="n">
        <v>46185</v>
      </c>
      <c r="E236" s="1" t="n">
        <v>46218</v>
      </c>
      <c r="F236" t="inlineStr">
        <is>
          <t>DALARNAS LÄN</t>
        </is>
      </c>
      <c r="G236" t="inlineStr">
        <is>
          <t>GAGNEF</t>
        </is>
      </c>
      <c r="I236" t="n">
        <v>1.6</v>
      </c>
      <c r="J236" t="n">
        <v>0</v>
      </c>
      <c r="K236" t="n">
        <v>0</v>
      </c>
      <c r="L236" t="n">
        <v>0</v>
      </c>
      <c r="M236" t="n">
        <v>0</v>
      </c>
      <c r="N236" t="n">
        <v>0</v>
      </c>
      <c r="O236" t="n">
        <v>0</v>
      </c>
      <c r="P236" t="n">
        <v>0</v>
      </c>
      <c r="Q236" t="n">
        <v>0</v>
      </c>
      <c r="R236" t="n">
        <v>0</v>
      </c>
      <c r="S236" t="n">
        <v>0</v>
      </c>
      <c r="T236" t="n">
        <v>0</v>
      </c>
      <c r="U236" s="2" t="inlineStr"/>
    </row>
    <row r="237" ht="15" customHeight="1">
      <c r="A237" t="inlineStr">
        <is>
          <t>A 41442-2024</t>
        </is>
      </c>
      <c r="B237" t="inlineStr">
        <is>
          <t>avverkningsanmälan</t>
        </is>
      </c>
      <c r="C237" t="inlineStr">
        <is>
          <t>Föryngringsavverkning</t>
        </is>
      </c>
      <c r="D237" s="1" t="n">
        <v>45560</v>
      </c>
      <c r="E237" s="1" t="n">
        <v>46218</v>
      </c>
      <c r="F237" t="inlineStr">
        <is>
          <t>DALARNAS LÄN</t>
        </is>
      </c>
      <c r="G237" t="inlineStr">
        <is>
          <t>GAGNEF</t>
        </is>
      </c>
      <c r="I237" t="n">
        <v>2.2</v>
      </c>
      <c r="J237" t="n">
        <v>0</v>
      </c>
      <c r="K237" t="n">
        <v>0</v>
      </c>
      <c r="L237" t="n">
        <v>0</v>
      </c>
      <c r="M237" t="n">
        <v>0</v>
      </c>
      <c r="N237" t="n">
        <v>0</v>
      </c>
      <c r="O237" t="n">
        <v>0</v>
      </c>
      <c r="P237" t="n">
        <v>0</v>
      </c>
      <c r="Q237" t="n">
        <v>0</v>
      </c>
      <c r="R237" t="n">
        <v>0</v>
      </c>
      <c r="S237" t="n">
        <v>0</v>
      </c>
      <c r="T237" t="n">
        <v>0</v>
      </c>
      <c r="U237" s="2" t="inlineStr"/>
    </row>
    <row r="238" ht="15" customHeight="1">
      <c r="A238" t="inlineStr">
        <is>
          <t>A 27523-2026</t>
        </is>
      </c>
      <c r="B238" t="inlineStr">
        <is>
          <t>avverkningsanmälan</t>
        </is>
      </c>
      <c r="C238" t="inlineStr">
        <is>
          <t>Föryngringsavverkning</t>
        </is>
      </c>
      <c r="D238" s="1" t="n">
        <v>46185</v>
      </c>
      <c r="E238" s="1" t="n">
        <v>46218</v>
      </c>
      <c r="F238" t="inlineStr">
        <is>
          <t>DALARNAS LÄN</t>
        </is>
      </c>
      <c r="G238" t="inlineStr">
        <is>
          <t>GAGNEF</t>
        </is>
      </c>
      <c r="I238" t="n">
        <v>2.2</v>
      </c>
      <c r="J238" t="n">
        <v>0</v>
      </c>
      <c r="K238" t="n">
        <v>0</v>
      </c>
      <c r="L238" t="n">
        <v>0</v>
      </c>
      <c r="M238" t="n">
        <v>0</v>
      </c>
      <c r="N238" t="n">
        <v>0</v>
      </c>
      <c r="O238" t="n">
        <v>0</v>
      </c>
      <c r="P238" t="n">
        <v>0</v>
      </c>
      <c r="Q238" t="n">
        <v>0</v>
      </c>
      <c r="R238" t="n">
        <v>0</v>
      </c>
      <c r="S238" t="n">
        <v>0</v>
      </c>
      <c r="T238" t="n">
        <v>0</v>
      </c>
      <c r="U238" s="2" t="inlineStr"/>
    </row>
    <row r="239" ht="15" customHeight="1">
      <c r="A239" t="inlineStr">
        <is>
          <t>A 20486-2024</t>
        </is>
      </c>
      <c r="B239" t="inlineStr">
        <is>
          <t>avverkningsanmälan</t>
        </is>
      </c>
      <c r="C239" t="inlineStr">
        <is>
          <t>Föryngringsavverkning</t>
        </is>
      </c>
      <c r="D239" s="1" t="n">
        <v>45435</v>
      </c>
      <c r="E239" s="1" t="n">
        <v>46218</v>
      </c>
      <c r="F239" t="inlineStr">
        <is>
          <t>DALARNAS LÄN</t>
        </is>
      </c>
      <c r="G239" t="inlineStr">
        <is>
          <t>GAGNEF</t>
        </is>
      </c>
      <c r="I239" t="n">
        <v>10.1</v>
      </c>
      <c r="J239" t="n">
        <v>0</v>
      </c>
      <c r="K239" t="n">
        <v>0</v>
      </c>
      <c r="L239" t="n">
        <v>0</v>
      </c>
      <c r="M239" t="n">
        <v>0</v>
      </c>
      <c r="N239" t="n">
        <v>0</v>
      </c>
      <c r="O239" t="n">
        <v>0</v>
      </c>
      <c r="P239" t="n">
        <v>0</v>
      </c>
      <c r="Q239" t="n">
        <v>0</v>
      </c>
      <c r="R239" t="n">
        <v>0</v>
      </c>
      <c r="S239" t="n">
        <v>0</v>
      </c>
      <c r="T239" t="n">
        <v>0</v>
      </c>
      <c r="U239" s="2" t="inlineStr"/>
    </row>
    <row r="240" ht="15" customHeight="1">
      <c r="A240" t="inlineStr">
        <is>
          <t>A 54181-2025</t>
        </is>
      </c>
      <c r="B240" t="inlineStr">
        <is>
          <t>avverkningsanmälan</t>
        </is>
      </c>
      <c r="C240" t="inlineStr">
        <is>
          <t>Avverkning för annat ändamål</t>
        </is>
      </c>
      <c r="D240" s="1" t="n">
        <v>45964</v>
      </c>
      <c r="E240" s="1" t="n">
        <v>46218</v>
      </c>
      <c r="F240" t="inlineStr">
        <is>
          <t>DALARNAS LÄN</t>
        </is>
      </c>
      <c r="G240" t="inlineStr">
        <is>
          <t>GAGNEF</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52159-2023</t>
        </is>
      </c>
      <c r="B241" t="inlineStr">
        <is>
          <t>avverkningsanmälan</t>
        </is>
      </c>
      <c r="C241" t="inlineStr">
        <is>
          <t>Föryngringsavverkning</t>
        </is>
      </c>
      <c r="D241" s="1" t="n">
        <v>45224</v>
      </c>
      <c r="E241" s="1" t="n">
        <v>46218</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54178-2025</t>
        </is>
      </c>
      <c r="B242" t="inlineStr">
        <is>
          <t>avverkningsanmälan</t>
        </is>
      </c>
      <c r="C242" t="inlineStr">
        <is>
          <t>Avverkning för annat ändamål</t>
        </is>
      </c>
      <c r="D242" s="1" t="n">
        <v>45964</v>
      </c>
      <c r="E242" s="1" t="n">
        <v>46218</v>
      </c>
      <c r="F242" t="inlineStr">
        <is>
          <t>DALARNAS LÄN</t>
        </is>
      </c>
      <c r="G242" t="inlineStr">
        <is>
          <t>GAGNEF</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63184-2025</t>
        </is>
      </c>
      <c r="B243" t="inlineStr">
        <is>
          <t>avverkningsanmälan</t>
        </is>
      </c>
      <c r="C243" t="inlineStr">
        <is>
          <t>Föryngringsavverkning</t>
        </is>
      </c>
      <c r="D243" s="1" t="n">
        <v>46010</v>
      </c>
      <c r="E243" s="1" t="n">
        <v>46218</v>
      </c>
      <c r="F243" t="inlineStr">
        <is>
          <t>DALARNAS LÄN</t>
        </is>
      </c>
      <c r="G243" t="inlineStr">
        <is>
          <t>GAGNEF</t>
        </is>
      </c>
      <c r="I243" t="n">
        <v>4.3</v>
      </c>
      <c r="J243" t="n">
        <v>0</v>
      </c>
      <c r="K243" t="n">
        <v>0</v>
      </c>
      <c r="L243" t="n">
        <v>0</v>
      </c>
      <c r="M243" t="n">
        <v>0</v>
      </c>
      <c r="N243" t="n">
        <v>0</v>
      </c>
      <c r="O243" t="n">
        <v>0</v>
      </c>
      <c r="P243" t="n">
        <v>0</v>
      </c>
      <c r="Q243" t="n">
        <v>0</v>
      </c>
      <c r="R243" t="n">
        <v>0</v>
      </c>
      <c r="S243" t="n">
        <v>0</v>
      </c>
      <c r="T243" t="n">
        <v>0</v>
      </c>
      <c r="U243" s="2" t="inlineStr"/>
    </row>
    <row r="244" ht="15" customHeight="1">
      <c r="A244" t="inlineStr">
        <is>
          <t>A 63707-2025</t>
        </is>
      </c>
      <c r="B244" t="inlineStr">
        <is>
          <t>avverkningsanmälan</t>
        </is>
      </c>
      <c r="C244" t="inlineStr">
        <is>
          <t>Föryngringsavverkning</t>
        </is>
      </c>
      <c r="D244" s="1" t="n">
        <v>46014</v>
      </c>
      <c r="E244" s="1" t="n">
        <v>46218</v>
      </c>
      <c r="F244" t="inlineStr">
        <is>
          <t>DALARNAS LÄN</t>
        </is>
      </c>
      <c r="G244" t="inlineStr">
        <is>
          <t>GAGNEF</t>
        </is>
      </c>
      <c r="I244" t="n">
        <v>6.4</v>
      </c>
      <c r="J244" t="n">
        <v>0</v>
      </c>
      <c r="K244" t="n">
        <v>0</v>
      </c>
      <c r="L244" t="n">
        <v>0</v>
      </c>
      <c r="M244" t="n">
        <v>0</v>
      </c>
      <c r="N244" t="n">
        <v>0</v>
      </c>
      <c r="O244" t="n">
        <v>0</v>
      </c>
      <c r="P244" t="n">
        <v>0</v>
      </c>
      <c r="Q244" t="n">
        <v>0</v>
      </c>
      <c r="R244" t="n">
        <v>0</v>
      </c>
      <c r="S244" t="n">
        <v>0</v>
      </c>
      <c r="T244" t="n">
        <v>0</v>
      </c>
      <c r="U244" s="2" t="inlineStr"/>
    </row>
    <row r="245" ht="15" customHeight="1">
      <c r="A245" t="inlineStr">
        <is>
          <t>A 21594-2026</t>
        </is>
      </c>
      <c r="B245" t="inlineStr">
        <is>
          <t>avverkningsanmälan</t>
        </is>
      </c>
      <c r="C245" t="inlineStr">
        <is>
          <t>Föryngringsavverkning</t>
        </is>
      </c>
      <c r="D245" s="1" t="n">
        <v>46149</v>
      </c>
      <c r="E245" s="1" t="n">
        <v>46218</v>
      </c>
      <c r="F245" t="inlineStr">
        <is>
          <t>DALARNAS LÄN</t>
        </is>
      </c>
      <c r="G245" t="inlineStr">
        <is>
          <t>GAGNEF</t>
        </is>
      </c>
      <c r="H245" t="inlineStr">
        <is>
          <t>Bergvik skog väst AB</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63796-2025</t>
        </is>
      </c>
      <c r="B246" t="inlineStr">
        <is>
          <t>avverkningsanmälan</t>
        </is>
      </c>
      <c r="C246" t="inlineStr">
        <is>
          <t>Föryngringsavverkning</t>
        </is>
      </c>
      <c r="D246" s="1" t="n">
        <v>46019</v>
      </c>
      <c r="E246" s="1" t="n">
        <v>46218</v>
      </c>
      <c r="F246" t="inlineStr">
        <is>
          <t>DALARNAS LÄN</t>
        </is>
      </c>
      <c r="G246" t="inlineStr">
        <is>
          <t>GAGNEF</t>
        </is>
      </c>
      <c r="I246" t="n">
        <v>12.8</v>
      </c>
      <c r="J246" t="n">
        <v>0</v>
      </c>
      <c r="K246" t="n">
        <v>0</v>
      </c>
      <c r="L246" t="n">
        <v>0</v>
      </c>
      <c r="M246" t="n">
        <v>0</v>
      </c>
      <c r="N246" t="n">
        <v>0</v>
      </c>
      <c r="O246" t="n">
        <v>0</v>
      </c>
      <c r="P246" t="n">
        <v>0</v>
      </c>
      <c r="Q246" t="n">
        <v>0</v>
      </c>
      <c r="R246" t="n">
        <v>0</v>
      </c>
      <c r="S246" t="n">
        <v>0</v>
      </c>
      <c r="T246" t="n">
        <v>0</v>
      </c>
      <c r="U246" s="2" t="inlineStr"/>
    </row>
    <row r="247" ht="15" customHeight="1">
      <c r="A247" t="inlineStr">
        <is>
          <t>A 117-2026</t>
        </is>
      </c>
      <c r="B247" t="inlineStr">
        <is>
          <t>avverkningsanmälan</t>
        </is>
      </c>
      <c r="C247" t="inlineStr">
        <is>
          <t>Föryngringsavverkning</t>
        </is>
      </c>
      <c r="D247" s="1" t="n">
        <v>46024</v>
      </c>
      <c r="E247" s="1" t="n">
        <v>46218</v>
      </c>
      <c r="F247" t="inlineStr">
        <is>
          <t>DALARNAS LÄN</t>
        </is>
      </c>
      <c r="G247" t="inlineStr">
        <is>
          <t>GAGNEF</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120-2026</t>
        </is>
      </c>
      <c r="B248" t="inlineStr">
        <is>
          <t>avverkningsanmälan</t>
        </is>
      </c>
      <c r="C248" t="inlineStr">
        <is>
          <t>Föryngringsavverkning</t>
        </is>
      </c>
      <c r="D248" s="1" t="n">
        <v>46024</v>
      </c>
      <c r="E248" s="1" t="n">
        <v>46218</v>
      </c>
      <c r="F248" t="inlineStr">
        <is>
          <t>DALARNAS LÄN</t>
        </is>
      </c>
      <c r="G248" t="inlineStr">
        <is>
          <t>GAGNEF</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115-2026</t>
        </is>
      </c>
      <c r="B249" t="inlineStr">
        <is>
          <t>avverkningsanmälan</t>
        </is>
      </c>
      <c r="C249" t="inlineStr">
        <is>
          <t>Föryngringsavverkning</t>
        </is>
      </c>
      <c r="D249" s="1" t="n">
        <v>46024</v>
      </c>
      <c r="E249" s="1" t="n">
        <v>46218</v>
      </c>
      <c r="F249" t="inlineStr">
        <is>
          <t>DALARNAS LÄN</t>
        </is>
      </c>
      <c r="G249" t="inlineStr">
        <is>
          <t>GAGNEF</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126-2026</t>
        </is>
      </c>
      <c r="B250" t="inlineStr">
        <is>
          <t>avverkningsanmälan</t>
        </is>
      </c>
      <c r="C250" t="inlineStr">
        <is>
          <t>Föryngringsavverkning</t>
        </is>
      </c>
      <c r="D250" s="1" t="n">
        <v>46024</v>
      </c>
      <c r="E250" s="1" t="n">
        <v>46218</v>
      </c>
      <c r="F250" t="inlineStr">
        <is>
          <t>DALARNAS LÄN</t>
        </is>
      </c>
      <c r="G250" t="inlineStr">
        <is>
          <t>GAGNEF</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25853-2024</t>
        </is>
      </c>
      <c r="B251" t="inlineStr">
        <is>
          <t>avverkningsanmälan</t>
        </is>
      </c>
      <c r="C251" t="inlineStr">
        <is>
          <t>Avverkning för annat ändamål</t>
        </is>
      </c>
      <c r="D251" s="1" t="n">
        <v>45467</v>
      </c>
      <c r="E251" s="1" t="n">
        <v>46218</v>
      </c>
      <c r="F251" t="inlineStr">
        <is>
          <t>DALARNAS LÄN</t>
        </is>
      </c>
      <c r="G251" t="inlineStr">
        <is>
          <t>GAGNEF</t>
        </is>
      </c>
      <c r="H251" t="inlineStr">
        <is>
          <t>Bergvik skog väst AB</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55-2026</t>
        </is>
      </c>
      <c r="B252" t="inlineStr">
        <is>
          <t>avverkningsanmälan</t>
        </is>
      </c>
      <c r="C252" t="inlineStr">
        <is>
          <t>Föryngringsavverkning</t>
        </is>
      </c>
      <c r="D252" s="1" t="n">
        <v>46024</v>
      </c>
      <c r="E252" s="1" t="n">
        <v>46218</v>
      </c>
      <c r="F252" t="inlineStr">
        <is>
          <t>DALARNAS LÄN</t>
        </is>
      </c>
      <c r="G252" t="inlineStr">
        <is>
          <t>GAGNEF</t>
        </is>
      </c>
      <c r="I252" t="n">
        <v>6.5</v>
      </c>
      <c r="J252" t="n">
        <v>0</v>
      </c>
      <c r="K252" t="n">
        <v>0</v>
      </c>
      <c r="L252" t="n">
        <v>0</v>
      </c>
      <c r="M252" t="n">
        <v>0</v>
      </c>
      <c r="N252" t="n">
        <v>0</v>
      </c>
      <c r="O252" t="n">
        <v>0</v>
      </c>
      <c r="P252" t="n">
        <v>0</v>
      </c>
      <c r="Q252" t="n">
        <v>0</v>
      </c>
      <c r="R252" t="n">
        <v>0</v>
      </c>
      <c r="S252" t="n">
        <v>0</v>
      </c>
      <c r="T252" t="n">
        <v>0</v>
      </c>
      <c r="U252" s="2" t="inlineStr"/>
    </row>
    <row r="253" ht="15" customHeight="1">
      <c r="A253" t="inlineStr">
        <is>
          <t>A 134-2026</t>
        </is>
      </c>
      <c r="B253" t="inlineStr">
        <is>
          <t>avverkningsanmälan</t>
        </is>
      </c>
      <c r="C253" t="inlineStr">
        <is>
          <t>Föryngringsavverkning</t>
        </is>
      </c>
      <c r="D253" s="1" t="n">
        <v>46024</v>
      </c>
      <c r="E253" s="1" t="n">
        <v>46218</v>
      </c>
      <c r="F253" t="inlineStr">
        <is>
          <t>DALARNAS LÄN</t>
        </is>
      </c>
      <c r="G253" t="inlineStr">
        <is>
          <t>GAGNEF</t>
        </is>
      </c>
      <c r="I253" t="n">
        <v>4.7</v>
      </c>
      <c r="J253" t="n">
        <v>0</v>
      </c>
      <c r="K253" t="n">
        <v>0</v>
      </c>
      <c r="L253" t="n">
        <v>0</v>
      </c>
      <c r="M253" t="n">
        <v>0</v>
      </c>
      <c r="N253" t="n">
        <v>0</v>
      </c>
      <c r="O253" t="n">
        <v>0</v>
      </c>
      <c r="P253" t="n">
        <v>0</v>
      </c>
      <c r="Q253" t="n">
        <v>0</v>
      </c>
      <c r="R253" t="n">
        <v>0</v>
      </c>
      <c r="S253" t="n">
        <v>0</v>
      </c>
      <c r="T253" t="n">
        <v>0</v>
      </c>
      <c r="U253" s="2" t="inlineStr"/>
    </row>
    <row r="254" ht="15" customHeight="1">
      <c r="A254" t="inlineStr">
        <is>
          <t>A 131-2026</t>
        </is>
      </c>
      <c r="B254" t="inlineStr">
        <is>
          <t>avverkningsanmälan</t>
        </is>
      </c>
      <c r="C254" t="inlineStr">
        <is>
          <t>Föryngringsavverkning</t>
        </is>
      </c>
      <c r="D254" s="1" t="n">
        <v>46024</v>
      </c>
      <c r="E254" s="1" t="n">
        <v>46218</v>
      </c>
      <c r="F254" t="inlineStr">
        <is>
          <t>DALARNAS LÄN</t>
        </is>
      </c>
      <c r="G254" t="inlineStr">
        <is>
          <t>GAGNEF</t>
        </is>
      </c>
      <c r="I254" t="n">
        <v>0.4</v>
      </c>
      <c r="J254" t="n">
        <v>0</v>
      </c>
      <c r="K254" t="n">
        <v>0</v>
      </c>
      <c r="L254" t="n">
        <v>0</v>
      </c>
      <c r="M254" t="n">
        <v>0</v>
      </c>
      <c r="N254" t="n">
        <v>0</v>
      </c>
      <c r="O254" t="n">
        <v>0</v>
      </c>
      <c r="P254" t="n">
        <v>0</v>
      </c>
      <c r="Q254" t="n">
        <v>0</v>
      </c>
      <c r="R254" t="n">
        <v>0</v>
      </c>
      <c r="S254" t="n">
        <v>0</v>
      </c>
      <c r="T254" t="n">
        <v>0</v>
      </c>
      <c r="U254" s="2" t="inlineStr"/>
    </row>
    <row r="255" ht="15" customHeight="1">
      <c r="A255" t="inlineStr">
        <is>
          <t>A 340-2026</t>
        </is>
      </c>
      <c r="B255" t="inlineStr">
        <is>
          <t>avverkningsanmälan</t>
        </is>
      </c>
      <c r="C255" t="inlineStr">
        <is>
          <t>Föryngringsavverkning</t>
        </is>
      </c>
      <c r="D255" s="1" t="n">
        <v>46027</v>
      </c>
      <c r="E255" s="1" t="n">
        <v>46218</v>
      </c>
      <c r="F255" t="inlineStr">
        <is>
          <t>DALARNAS LÄN</t>
        </is>
      </c>
      <c r="G255" t="inlineStr">
        <is>
          <t>GAGNEF</t>
        </is>
      </c>
      <c r="I255" t="n">
        <v>3.3</v>
      </c>
      <c r="J255" t="n">
        <v>0</v>
      </c>
      <c r="K255" t="n">
        <v>0</v>
      </c>
      <c r="L255" t="n">
        <v>0</v>
      </c>
      <c r="M255" t="n">
        <v>0</v>
      </c>
      <c r="N255" t="n">
        <v>0</v>
      </c>
      <c r="O255" t="n">
        <v>0</v>
      </c>
      <c r="P255" t="n">
        <v>0</v>
      </c>
      <c r="Q255" t="n">
        <v>0</v>
      </c>
      <c r="R255" t="n">
        <v>0</v>
      </c>
      <c r="S255" t="n">
        <v>0</v>
      </c>
      <c r="T255" t="n">
        <v>0</v>
      </c>
      <c r="U255" s="2" t="inlineStr"/>
    </row>
    <row r="256" ht="15" customHeight="1">
      <c r="A256" t="inlineStr">
        <is>
          <t>A 28192-2026</t>
        </is>
      </c>
      <c r="B256" t="inlineStr">
        <is>
          <t>avverkningsanmälan</t>
        </is>
      </c>
      <c r="C256" t="inlineStr">
        <is>
          <t>Föryngringsavverkning</t>
        </is>
      </c>
      <c r="D256" s="1" t="n">
        <v>46195</v>
      </c>
      <c r="E256" s="1" t="n">
        <v>46218</v>
      </c>
      <c r="F256" t="inlineStr">
        <is>
          <t>DALARNAS LÄN</t>
        </is>
      </c>
      <c r="G256" t="inlineStr">
        <is>
          <t>GAGNEF</t>
        </is>
      </c>
      <c r="I256" t="n">
        <v>3.4</v>
      </c>
      <c r="J256" t="n">
        <v>0</v>
      </c>
      <c r="K256" t="n">
        <v>0</v>
      </c>
      <c r="L256" t="n">
        <v>0</v>
      </c>
      <c r="M256" t="n">
        <v>0</v>
      </c>
      <c r="N256" t="n">
        <v>0</v>
      </c>
      <c r="O256" t="n">
        <v>0</v>
      </c>
      <c r="P256" t="n">
        <v>0</v>
      </c>
      <c r="Q256" t="n">
        <v>0</v>
      </c>
      <c r="R256" t="n">
        <v>0</v>
      </c>
      <c r="S256" t="n">
        <v>0</v>
      </c>
      <c r="T256" t="n">
        <v>0</v>
      </c>
      <c r="U256" s="2" t="inlineStr"/>
    </row>
    <row r="257" ht="15" customHeight="1">
      <c r="A257" t="inlineStr">
        <is>
          <t>A 1367-2026</t>
        </is>
      </c>
      <c r="B257" t="inlineStr">
        <is>
          <t>avverkningsanmälan</t>
        </is>
      </c>
      <c r="C257" t="inlineStr">
        <is>
          <t>Föryngringsavverkning</t>
        </is>
      </c>
      <c r="D257" s="1" t="n">
        <v>46031</v>
      </c>
      <c r="E257" s="1" t="n">
        <v>46218</v>
      </c>
      <c r="F257" t="inlineStr">
        <is>
          <t>DALARNAS LÄN</t>
        </is>
      </c>
      <c r="G257" t="inlineStr">
        <is>
          <t>GAGNEF</t>
        </is>
      </c>
      <c r="I257" t="n">
        <v>14.8</v>
      </c>
      <c r="J257" t="n">
        <v>0</v>
      </c>
      <c r="K257" t="n">
        <v>0</v>
      </c>
      <c r="L257" t="n">
        <v>0</v>
      </c>
      <c r="M257" t="n">
        <v>0</v>
      </c>
      <c r="N257" t="n">
        <v>0</v>
      </c>
      <c r="O257" t="n">
        <v>0</v>
      </c>
      <c r="P257" t="n">
        <v>0</v>
      </c>
      <c r="Q257" t="n">
        <v>0</v>
      </c>
      <c r="R257" t="n">
        <v>0</v>
      </c>
      <c r="S257" t="n">
        <v>0</v>
      </c>
      <c r="T257" t="n">
        <v>0</v>
      </c>
      <c r="U257" s="2" t="inlineStr"/>
    </row>
    <row r="258" ht="15" customHeight="1">
      <c r="A258" t="inlineStr">
        <is>
          <t>A 6566-2022</t>
        </is>
      </c>
      <c r="B258" t="inlineStr">
        <is>
          <t>avverkningsanmälan</t>
        </is>
      </c>
      <c r="C258" t="inlineStr">
        <is>
          <t>Föryngringsavverkning</t>
        </is>
      </c>
      <c r="D258" s="1" t="n">
        <v>44601</v>
      </c>
      <c r="E258" s="1" t="n">
        <v>46218</v>
      </c>
      <c r="F258" t="inlineStr">
        <is>
          <t>DALARNAS LÄN</t>
        </is>
      </c>
      <c r="G258" t="inlineStr">
        <is>
          <t>GAGNEF</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1276-2026</t>
        </is>
      </c>
      <c r="B259" t="inlineStr">
        <is>
          <t>avverkningsanmälan</t>
        </is>
      </c>
      <c r="C259" t="inlineStr">
        <is>
          <t>Föryngringsavverkning</t>
        </is>
      </c>
      <c r="D259" s="1" t="n">
        <v>46031</v>
      </c>
      <c r="E259" s="1" t="n">
        <v>46218</v>
      </c>
      <c r="F259" t="inlineStr">
        <is>
          <t>DALARNAS LÄN</t>
        </is>
      </c>
      <c r="G259" t="inlineStr">
        <is>
          <t>GAGNEF</t>
        </is>
      </c>
      <c r="I259" t="n">
        <v>5.6</v>
      </c>
      <c r="J259" t="n">
        <v>0</v>
      </c>
      <c r="K259" t="n">
        <v>0</v>
      </c>
      <c r="L259" t="n">
        <v>0</v>
      </c>
      <c r="M259" t="n">
        <v>0</v>
      </c>
      <c r="N259" t="n">
        <v>0</v>
      </c>
      <c r="O259" t="n">
        <v>0</v>
      </c>
      <c r="P259" t="n">
        <v>0</v>
      </c>
      <c r="Q259" t="n">
        <v>0</v>
      </c>
      <c r="R259" t="n">
        <v>0</v>
      </c>
      <c r="S259" t="n">
        <v>0</v>
      </c>
      <c r="T259" t="n">
        <v>0</v>
      </c>
      <c r="U259" s="2" t="inlineStr"/>
    </row>
    <row r="260" ht="15" customHeight="1">
      <c r="A260" t="inlineStr">
        <is>
          <t>A 1411-2026</t>
        </is>
      </c>
      <c r="B260" t="inlineStr">
        <is>
          <t>avverkningsanmälan</t>
        </is>
      </c>
      <c r="C260" t="inlineStr">
        <is>
          <t>Föryngringsavverkning</t>
        </is>
      </c>
      <c r="D260" s="1" t="n">
        <v>46031</v>
      </c>
      <c r="E260" s="1" t="n">
        <v>46218</v>
      </c>
      <c r="F260" t="inlineStr">
        <is>
          <t>DALARNAS LÄN</t>
        </is>
      </c>
      <c r="G260" t="inlineStr">
        <is>
          <t>GAGNEF</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1100-2026</t>
        </is>
      </c>
      <c r="B261" t="inlineStr">
        <is>
          <t>avverkningsanmälan</t>
        </is>
      </c>
      <c r="C261" t="inlineStr">
        <is>
          <t>Föryngringsavverkning</t>
        </is>
      </c>
      <c r="D261" s="1" t="n">
        <v>46030</v>
      </c>
      <c r="E261" s="1" t="n">
        <v>46218</v>
      </c>
      <c r="F261" t="inlineStr">
        <is>
          <t>DALARNAS LÄN</t>
        </is>
      </c>
      <c r="G261" t="inlineStr">
        <is>
          <t>GAGNEF</t>
        </is>
      </c>
      <c r="I261" t="n">
        <v>10.7</v>
      </c>
      <c r="J261" t="n">
        <v>0</v>
      </c>
      <c r="K261" t="n">
        <v>0</v>
      </c>
      <c r="L261" t="n">
        <v>0</v>
      </c>
      <c r="M261" t="n">
        <v>0</v>
      </c>
      <c r="N261" t="n">
        <v>0</v>
      </c>
      <c r="O261" t="n">
        <v>0</v>
      </c>
      <c r="P261" t="n">
        <v>0</v>
      </c>
      <c r="Q261" t="n">
        <v>0</v>
      </c>
      <c r="R261" t="n">
        <v>0</v>
      </c>
      <c r="S261" t="n">
        <v>0</v>
      </c>
      <c r="T261" t="n">
        <v>0</v>
      </c>
      <c r="U261" s="2" t="inlineStr"/>
    </row>
    <row r="262" ht="15" customHeight="1">
      <c r="A262" t="inlineStr">
        <is>
          <t>A 22405-2026</t>
        </is>
      </c>
      <c r="B262" t="inlineStr">
        <is>
          <t>avverkningsanmälan</t>
        </is>
      </c>
      <c r="C262" t="inlineStr">
        <is>
          <t>Föryngringsavverkning</t>
        </is>
      </c>
      <c r="D262" s="1" t="n">
        <v>46154</v>
      </c>
      <c r="E262" s="1" t="n">
        <v>46218</v>
      </c>
      <c r="F262" t="inlineStr">
        <is>
          <t>DALARNAS LÄN</t>
        </is>
      </c>
      <c r="G262" t="inlineStr">
        <is>
          <t>GAGNEF</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61871-2024</t>
        </is>
      </c>
      <c r="B263" t="inlineStr">
        <is>
          <t>avverkningsanmälan</t>
        </is>
      </c>
      <c r="C263" t="inlineStr">
        <is>
          <t>Föryngringsavverkning</t>
        </is>
      </c>
      <c r="D263" s="1" t="n">
        <v>45651</v>
      </c>
      <c r="E263" s="1" t="n">
        <v>46218</v>
      </c>
      <c r="F263" t="inlineStr">
        <is>
          <t>DALARNAS LÄN</t>
        </is>
      </c>
      <c r="G263" t="inlineStr">
        <is>
          <t>GAGNEF</t>
        </is>
      </c>
      <c r="H263" t="inlineStr">
        <is>
          <t>Bergvik skog väst AB</t>
        </is>
      </c>
      <c r="I263" t="n">
        <v>10</v>
      </c>
      <c r="J263" t="n">
        <v>0</v>
      </c>
      <c r="K263" t="n">
        <v>0</v>
      </c>
      <c r="L263" t="n">
        <v>0</v>
      </c>
      <c r="M263" t="n">
        <v>0</v>
      </c>
      <c r="N263" t="n">
        <v>0</v>
      </c>
      <c r="O263" t="n">
        <v>0</v>
      </c>
      <c r="P263" t="n">
        <v>0</v>
      </c>
      <c r="Q263" t="n">
        <v>0</v>
      </c>
      <c r="R263" t="n">
        <v>0</v>
      </c>
      <c r="S263" t="n">
        <v>0</v>
      </c>
      <c r="T263" t="n">
        <v>0</v>
      </c>
      <c r="U263" s="2" t="inlineStr"/>
    </row>
    <row r="264" ht="15" customHeight="1">
      <c r="A264" t="inlineStr">
        <is>
          <t>A 1430-2026</t>
        </is>
      </c>
      <c r="B264" t="inlineStr">
        <is>
          <t>avverkningsanmälan</t>
        </is>
      </c>
      <c r="C264" t="inlineStr">
        <is>
          <t>Föryngringsavverkning</t>
        </is>
      </c>
      <c r="D264" s="1" t="n">
        <v>46032</v>
      </c>
      <c r="E264" s="1" t="n">
        <v>46218</v>
      </c>
      <c r="F264" t="inlineStr">
        <is>
          <t>DALARNAS LÄN</t>
        </is>
      </c>
      <c r="G264" t="inlineStr">
        <is>
          <t>GAGNEF</t>
        </is>
      </c>
      <c r="I264" t="n">
        <v>4.2</v>
      </c>
      <c r="J264" t="n">
        <v>0</v>
      </c>
      <c r="K264" t="n">
        <v>0</v>
      </c>
      <c r="L264" t="n">
        <v>0</v>
      </c>
      <c r="M264" t="n">
        <v>0</v>
      </c>
      <c r="N264" t="n">
        <v>0</v>
      </c>
      <c r="O264" t="n">
        <v>0</v>
      </c>
      <c r="P264" t="n">
        <v>0</v>
      </c>
      <c r="Q264" t="n">
        <v>0</v>
      </c>
      <c r="R264" t="n">
        <v>0</v>
      </c>
      <c r="S264" t="n">
        <v>0</v>
      </c>
      <c r="T264" t="n">
        <v>0</v>
      </c>
      <c r="U264" s="2" t="inlineStr"/>
    </row>
    <row r="265" ht="15" customHeight="1">
      <c r="A265" t="inlineStr">
        <is>
          <t>A 1431-2026</t>
        </is>
      </c>
      <c r="B265" t="inlineStr">
        <is>
          <t>avverkningsanmälan</t>
        </is>
      </c>
      <c r="C265" t="inlineStr">
        <is>
          <t>Föryngringsavverkning</t>
        </is>
      </c>
      <c r="D265" s="1" t="n">
        <v>46032</v>
      </c>
      <c r="E265" s="1" t="n">
        <v>46218</v>
      </c>
      <c r="F265" t="inlineStr">
        <is>
          <t>DALARNAS LÄN</t>
        </is>
      </c>
      <c r="G265" t="inlineStr">
        <is>
          <t>GAGNEF</t>
        </is>
      </c>
      <c r="I265" t="n">
        <v>8.4</v>
      </c>
      <c r="J265" t="n">
        <v>0</v>
      </c>
      <c r="K265" t="n">
        <v>0</v>
      </c>
      <c r="L265" t="n">
        <v>0</v>
      </c>
      <c r="M265" t="n">
        <v>0</v>
      </c>
      <c r="N265" t="n">
        <v>0</v>
      </c>
      <c r="O265" t="n">
        <v>0</v>
      </c>
      <c r="P265" t="n">
        <v>0</v>
      </c>
      <c r="Q265" t="n">
        <v>0</v>
      </c>
      <c r="R265" t="n">
        <v>0</v>
      </c>
      <c r="S265" t="n">
        <v>0</v>
      </c>
      <c r="T265" t="n">
        <v>0</v>
      </c>
      <c r="U265" s="2" t="inlineStr"/>
    </row>
    <row r="266" ht="15" customHeight="1">
      <c r="A266" t="inlineStr">
        <is>
          <t>A 1584-2026</t>
        </is>
      </c>
      <c r="B266" t="inlineStr">
        <is>
          <t>avverkningsanmälan</t>
        </is>
      </c>
      <c r="C266" t="inlineStr">
        <is>
          <t>Föryngringsavverkning</t>
        </is>
      </c>
      <c r="D266" s="1" t="n">
        <v>46034</v>
      </c>
      <c r="E266" s="1" t="n">
        <v>46218</v>
      </c>
      <c r="F266" t="inlineStr">
        <is>
          <t>DALARNAS LÄN</t>
        </is>
      </c>
      <c r="G266" t="inlineStr">
        <is>
          <t>GAGNEF</t>
        </is>
      </c>
      <c r="I266" t="n">
        <v>2.9</v>
      </c>
      <c r="J266" t="n">
        <v>0</v>
      </c>
      <c r="K266" t="n">
        <v>0</v>
      </c>
      <c r="L266" t="n">
        <v>0</v>
      </c>
      <c r="M266" t="n">
        <v>0</v>
      </c>
      <c r="N266" t="n">
        <v>0</v>
      </c>
      <c r="O266" t="n">
        <v>0</v>
      </c>
      <c r="P266" t="n">
        <v>0</v>
      </c>
      <c r="Q266" t="n">
        <v>0</v>
      </c>
      <c r="R266" t="n">
        <v>0</v>
      </c>
      <c r="S266" t="n">
        <v>0</v>
      </c>
      <c r="T266" t="n">
        <v>0</v>
      </c>
      <c r="U266" s="2" t="inlineStr"/>
    </row>
    <row r="267" ht="15" customHeight="1">
      <c r="A267" t="inlineStr">
        <is>
          <t>A 22383-2026</t>
        </is>
      </c>
      <c r="B267" t="inlineStr">
        <is>
          <t>avverkningsanmälan</t>
        </is>
      </c>
      <c r="C267" t="inlineStr">
        <is>
          <t>Föryngringsavverkning</t>
        </is>
      </c>
      <c r="D267" s="1" t="n">
        <v>46154</v>
      </c>
      <c r="E267" s="1" t="n">
        <v>46218</v>
      </c>
      <c r="F267" t="inlineStr">
        <is>
          <t>DALARNAS LÄN</t>
        </is>
      </c>
      <c r="G267" t="inlineStr">
        <is>
          <t>GAGNEF</t>
        </is>
      </c>
      <c r="H267" t="inlineStr">
        <is>
          <t>Bergvik skog väst AB</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22445-2026</t>
        </is>
      </c>
      <c r="B268" t="inlineStr">
        <is>
          <t>avverkningsanmälan</t>
        </is>
      </c>
      <c r="C268" t="inlineStr">
        <is>
          <t>Föryngringsavverkning</t>
        </is>
      </c>
      <c r="D268" s="1" t="n">
        <v>46155</v>
      </c>
      <c r="E268" s="1" t="n">
        <v>46218</v>
      </c>
      <c r="F268" t="inlineStr">
        <is>
          <t>DALARNAS LÄN</t>
        </is>
      </c>
      <c r="G268" t="inlineStr">
        <is>
          <t>GAGNEF</t>
        </is>
      </c>
      <c r="H268" t="inlineStr">
        <is>
          <t>Bergvik skog väst AB</t>
        </is>
      </c>
      <c r="I268" t="n">
        <v>3.2</v>
      </c>
      <c r="J268" t="n">
        <v>0</v>
      </c>
      <c r="K268" t="n">
        <v>0</v>
      </c>
      <c r="L268" t="n">
        <v>0</v>
      </c>
      <c r="M268" t="n">
        <v>0</v>
      </c>
      <c r="N268" t="n">
        <v>0</v>
      </c>
      <c r="O268" t="n">
        <v>0</v>
      </c>
      <c r="P268" t="n">
        <v>0</v>
      </c>
      <c r="Q268" t="n">
        <v>0</v>
      </c>
      <c r="R268" t="n">
        <v>0</v>
      </c>
      <c r="S268" t="n">
        <v>0</v>
      </c>
      <c r="T268" t="n">
        <v>0</v>
      </c>
      <c r="U268" s="2" t="inlineStr"/>
    </row>
    <row r="269" ht="15" customHeight="1">
      <c r="A269" t="inlineStr">
        <is>
          <t>A 3599-2026</t>
        </is>
      </c>
      <c r="B269" t="inlineStr">
        <is>
          <t>avverkningsanmälan</t>
        </is>
      </c>
      <c r="C269" t="inlineStr">
        <is>
          <t>Föryngringsavverkning</t>
        </is>
      </c>
      <c r="D269" s="1" t="n">
        <v>46042</v>
      </c>
      <c r="E269" s="1" t="n">
        <v>46218</v>
      </c>
      <c r="F269" t="inlineStr">
        <is>
          <t>DALARNAS LÄN</t>
        </is>
      </c>
      <c r="G269" t="inlineStr">
        <is>
          <t>GAGNEF</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3389-2026</t>
        </is>
      </c>
      <c r="B270" t="inlineStr">
        <is>
          <t>avverkningsanmälan</t>
        </is>
      </c>
      <c r="C270" t="inlineStr">
        <is>
          <t>Föryngringsavverkning</t>
        </is>
      </c>
      <c r="D270" s="1" t="n">
        <v>46042</v>
      </c>
      <c r="E270" s="1" t="n">
        <v>46218</v>
      </c>
      <c r="F270" t="inlineStr">
        <is>
          <t>DALARNAS LÄN</t>
        </is>
      </c>
      <c r="G270" t="inlineStr">
        <is>
          <t>GAGNEF</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51231-2023</t>
        </is>
      </c>
      <c r="B271" t="inlineStr">
        <is>
          <t>avverkningsanmälan</t>
        </is>
      </c>
      <c r="C271" t="inlineStr">
        <is>
          <t>Föryngringsavverkning</t>
        </is>
      </c>
      <c r="D271" s="1" t="n">
        <v>45219</v>
      </c>
      <c r="E271" s="1" t="n">
        <v>46218</v>
      </c>
      <c r="F271" t="inlineStr">
        <is>
          <t>DALARNAS LÄN</t>
        </is>
      </c>
      <c r="G271" t="inlineStr">
        <is>
          <t>GAGNEF</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31245-2024</t>
        </is>
      </c>
      <c r="B272" t="inlineStr">
        <is>
          <t>avverkningsanmälan</t>
        </is>
      </c>
      <c r="C272" t="inlineStr">
        <is>
          <t>Föryngringsavverkning</t>
        </is>
      </c>
      <c r="D272" s="1" t="n">
        <v>45503</v>
      </c>
      <c r="E272" s="1" t="n">
        <v>46218</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59893-2021</t>
        </is>
      </c>
      <c r="B273" t="inlineStr">
        <is>
          <t>avverkningsanmälan</t>
        </is>
      </c>
      <c r="C273" t="inlineStr">
        <is>
          <t>Föryngringsavverkning</t>
        </is>
      </c>
      <c r="D273" s="1" t="n">
        <v>44494</v>
      </c>
      <c r="E273" s="1" t="n">
        <v>46218</v>
      </c>
      <c r="F273" t="inlineStr">
        <is>
          <t>DALARNAS LÄN</t>
        </is>
      </c>
      <c r="G273" t="inlineStr">
        <is>
          <t>GAGNEF</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10995-2024</t>
        </is>
      </c>
      <c r="B274" t="inlineStr">
        <is>
          <t>avverkningsanmälan</t>
        </is>
      </c>
      <c r="C274" t="inlineStr">
        <is>
          <t>Föryngringsavverkning</t>
        </is>
      </c>
      <c r="D274" s="1" t="n">
        <v>45370</v>
      </c>
      <c r="E274" s="1" t="n">
        <v>46218</v>
      </c>
      <c r="F274" t="inlineStr">
        <is>
          <t>DALARNAS LÄN</t>
        </is>
      </c>
      <c r="G274" t="inlineStr">
        <is>
          <t>GAGNEF</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4682-2026</t>
        </is>
      </c>
      <c r="B275" t="inlineStr">
        <is>
          <t>avverkningsanmälan</t>
        </is>
      </c>
      <c r="C275" t="inlineStr">
        <is>
          <t>Föryngringsavverkning</t>
        </is>
      </c>
      <c r="D275" s="1" t="n">
        <v>46048</v>
      </c>
      <c r="E275" s="1" t="n">
        <v>46218</v>
      </c>
      <c r="F275" t="inlineStr">
        <is>
          <t>DALARNAS LÄN</t>
        </is>
      </c>
      <c r="G275" t="inlineStr">
        <is>
          <t>GAGNEF</t>
        </is>
      </c>
      <c r="I275" t="n">
        <v>3.8</v>
      </c>
      <c r="J275" t="n">
        <v>0</v>
      </c>
      <c r="K275" t="n">
        <v>0</v>
      </c>
      <c r="L275" t="n">
        <v>0</v>
      </c>
      <c r="M275" t="n">
        <v>0</v>
      </c>
      <c r="N275" t="n">
        <v>0</v>
      </c>
      <c r="O275" t="n">
        <v>0</v>
      </c>
      <c r="P275" t="n">
        <v>0</v>
      </c>
      <c r="Q275" t="n">
        <v>0</v>
      </c>
      <c r="R275" t="n">
        <v>0</v>
      </c>
      <c r="S275" t="n">
        <v>0</v>
      </c>
      <c r="T275" t="n">
        <v>0</v>
      </c>
      <c r="U275" s="2" t="inlineStr"/>
    </row>
    <row r="276" ht="15" customHeight="1">
      <c r="A276" t="inlineStr">
        <is>
          <t>A 4718-2026</t>
        </is>
      </c>
      <c r="B276" t="inlineStr">
        <is>
          <t>avverkningsanmälan</t>
        </is>
      </c>
      <c r="C276" t="inlineStr">
        <is>
          <t>Föryngringsavverkning</t>
        </is>
      </c>
      <c r="D276" s="1" t="n">
        <v>46048</v>
      </c>
      <c r="E276" s="1" t="n">
        <v>46218</v>
      </c>
      <c r="F276" t="inlineStr">
        <is>
          <t>DALARNAS LÄN</t>
        </is>
      </c>
      <c r="G276" t="inlineStr">
        <is>
          <t>GAGNEF</t>
        </is>
      </c>
      <c r="I276" t="n">
        <v>5.3</v>
      </c>
      <c r="J276" t="n">
        <v>0</v>
      </c>
      <c r="K276" t="n">
        <v>0</v>
      </c>
      <c r="L276" t="n">
        <v>0</v>
      </c>
      <c r="M276" t="n">
        <v>0</v>
      </c>
      <c r="N276" t="n">
        <v>0</v>
      </c>
      <c r="O276" t="n">
        <v>0</v>
      </c>
      <c r="P276" t="n">
        <v>0</v>
      </c>
      <c r="Q276" t="n">
        <v>0</v>
      </c>
      <c r="R276" t="n">
        <v>0</v>
      </c>
      <c r="S276" t="n">
        <v>0</v>
      </c>
      <c r="T276" t="n">
        <v>0</v>
      </c>
      <c r="U276" s="2" t="inlineStr"/>
    </row>
    <row r="277" ht="15" customHeight="1">
      <c r="A277" t="inlineStr">
        <is>
          <t>A 4686-2026</t>
        </is>
      </c>
      <c r="B277" t="inlineStr">
        <is>
          <t>avverkningsanmälan</t>
        </is>
      </c>
      <c r="C277" t="inlineStr">
        <is>
          <t>Föryngringsavverkning</t>
        </is>
      </c>
      <c r="D277" s="1" t="n">
        <v>46048</v>
      </c>
      <c r="E277" s="1" t="n">
        <v>46218</v>
      </c>
      <c r="F277" t="inlineStr">
        <is>
          <t>DALARNAS LÄN</t>
        </is>
      </c>
      <c r="G277" t="inlineStr">
        <is>
          <t>GAGNEF</t>
        </is>
      </c>
      <c r="I277" t="n">
        <v>4</v>
      </c>
      <c r="J277" t="n">
        <v>0</v>
      </c>
      <c r="K277" t="n">
        <v>0</v>
      </c>
      <c r="L277" t="n">
        <v>0</v>
      </c>
      <c r="M277" t="n">
        <v>0</v>
      </c>
      <c r="N277" t="n">
        <v>0</v>
      </c>
      <c r="O277" t="n">
        <v>0</v>
      </c>
      <c r="P277" t="n">
        <v>0</v>
      </c>
      <c r="Q277" t="n">
        <v>0</v>
      </c>
      <c r="R277" t="n">
        <v>0</v>
      </c>
      <c r="S277" t="n">
        <v>0</v>
      </c>
      <c r="T277" t="n">
        <v>0</v>
      </c>
      <c r="U277" s="2" t="inlineStr"/>
    </row>
    <row r="278" ht="15" customHeight="1">
      <c r="A278" t="inlineStr">
        <is>
          <t>A 604-2025</t>
        </is>
      </c>
      <c r="B278" t="inlineStr">
        <is>
          <t>avverkningsanmälan</t>
        </is>
      </c>
      <c r="C278" t="inlineStr">
        <is>
          <t>Föryngringsavverkning</t>
        </is>
      </c>
      <c r="D278" s="1" t="n">
        <v>45664</v>
      </c>
      <c r="E278" s="1" t="n">
        <v>46218</v>
      </c>
      <c r="F278" t="inlineStr">
        <is>
          <t>DALARNAS LÄN</t>
        </is>
      </c>
      <c r="G278" t="inlineStr">
        <is>
          <t>GAGNEF</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36011-2023</t>
        </is>
      </c>
      <c r="B279" t="inlineStr">
        <is>
          <t>avverkningsanmälan</t>
        </is>
      </c>
      <c r="C279" t="inlineStr">
        <is>
          <t>Föryngringsavverkning</t>
        </is>
      </c>
      <c r="D279" s="1" t="n">
        <v>45148</v>
      </c>
      <c r="E279" s="1" t="n">
        <v>46218</v>
      </c>
      <c r="F279" t="inlineStr">
        <is>
          <t>DALARNAS LÄN</t>
        </is>
      </c>
      <c r="G279" t="inlineStr">
        <is>
          <t>GAGNEF</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61872-2024</t>
        </is>
      </c>
      <c r="B280" t="inlineStr">
        <is>
          <t>avverkningsanmälan</t>
        </is>
      </c>
      <c r="C280" t="inlineStr">
        <is>
          <t>Föryngringsavverkning</t>
        </is>
      </c>
      <c r="D280" s="1" t="n">
        <v>45651</v>
      </c>
      <c r="E280" s="1" t="n">
        <v>46218</v>
      </c>
      <c r="F280" t="inlineStr">
        <is>
          <t>DALARNAS LÄN</t>
        </is>
      </c>
      <c r="G280" t="inlineStr">
        <is>
          <t>GAGNEF</t>
        </is>
      </c>
      <c r="I280" t="n">
        <v>6.7</v>
      </c>
      <c r="J280" t="n">
        <v>0</v>
      </c>
      <c r="K280" t="n">
        <v>0</v>
      </c>
      <c r="L280" t="n">
        <v>0</v>
      </c>
      <c r="M280" t="n">
        <v>0</v>
      </c>
      <c r="N280" t="n">
        <v>0</v>
      </c>
      <c r="O280" t="n">
        <v>0</v>
      </c>
      <c r="P280" t="n">
        <v>0</v>
      </c>
      <c r="Q280" t="n">
        <v>0</v>
      </c>
      <c r="R280" t="n">
        <v>0</v>
      </c>
      <c r="S280" t="n">
        <v>0</v>
      </c>
      <c r="T280" t="n">
        <v>0</v>
      </c>
      <c r="U280" s="2" t="inlineStr"/>
    </row>
    <row r="281" ht="15" customHeight="1">
      <c r="A281" t="inlineStr">
        <is>
          <t>A 5686-2026</t>
        </is>
      </c>
      <c r="B281" t="inlineStr">
        <is>
          <t>avverkningsanmälan</t>
        </is>
      </c>
      <c r="C281" t="inlineStr">
        <is>
          <t>Föryngringsavverkning</t>
        </is>
      </c>
      <c r="D281" s="1" t="n">
        <v>46051</v>
      </c>
      <c r="E281" s="1" t="n">
        <v>46218</v>
      </c>
      <c r="F281" t="inlineStr">
        <is>
          <t>DALARNAS LÄN</t>
        </is>
      </c>
      <c r="G281" t="inlineStr">
        <is>
          <t>GAGNEF</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45057-2025</t>
        </is>
      </c>
      <c r="B282" t="inlineStr">
        <is>
          <t>avverkningsanmälan</t>
        </is>
      </c>
      <c r="C282" t="inlineStr">
        <is>
          <t>Föryngringsavverkning</t>
        </is>
      </c>
      <c r="D282" s="1" t="n">
        <v>45919</v>
      </c>
      <c r="E282" s="1" t="n">
        <v>46218</v>
      </c>
      <c r="F282" t="inlineStr">
        <is>
          <t>DALARNAS LÄN</t>
        </is>
      </c>
      <c r="G282" t="inlineStr">
        <is>
          <t>GAGNEF</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5256-2026</t>
        </is>
      </c>
      <c r="B283" t="inlineStr">
        <is>
          <t>avverkningsanmälan</t>
        </is>
      </c>
      <c r="C283" t="inlineStr">
        <is>
          <t>Föryngringsavverkning</t>
        </is>
      </c>
      <c r="D283" s="1" t="n">
        <v>46050</v>
      </c>
      <c r="E283" s="1" t="n">
        <v>46218</v>
      </c>
      <c r="F283" t="inlineStr">
        <is>
          <t>DALARNAS LÄN</t>
        </is>
      </c>
      <c r="G283" t="inlineStr">
        <is>
          <t>GAGNEF</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60667-2023</t>
        </is>
      </c>
      <c r="B284" t="inlineStr">
        <is>
          <t>avverkningsanmälan</t>
        </is>
      </c>
      <c r="C284" t="inlineStr">
        <is>
          <t>Föryngringsavverkning</t>
        </is>
      </c>
      <c r="D284" s="1" t="n">
        <v>45260</v>
      </c>
      <c r="E284" s="1" t="n">
        <v>46218</v>
      </c>
      <c r="F284" t="inlineStr">
        <is>
          <t>DALARNAS LÄN</t>
        </is>
      </c>
      <c r="G284" t="inlineStr">
        <is>
          <t>GAGNEF</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6303-2026</t>
        </is>
      </c>
      <c r="B285" t="inlineStr">
        <is>
          <t>avverkningsanmälan</t>
        </is>
      </c>
      <c r="C285" t="inlineStr">
        <is>
          <t>Föryngringsavverkning</t>
        </is>
      </c>
      <c r="D285" s="1" t="n">
        <v>46055</v>
      </c>
      <c r="E285" s="1" t="n">
        <v>46218</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63325-2025</t>
        </is>
      </c>
      <c r="B286" t="inlineStr">
        <is>
          <t>avverkningsanmälan</t>
        </is>
      </c>
      <c r="C286" t="inlineStr">
        <is>
          <t>Föryngringsavverkning</t>
        </is>
      </c>
      <c r="D286" s="1" t="n">
        <v>46010</v>
      </c>
      <c r="E286" s="1" t="n">
        <v>46218</v>
      </c>
      <c r="F286" t="inlineStr">
        <is>
          <t>DALARNAS LÄN</t>
        </is>
      </c>
      <c r="G286" t="inlineStr">
        <is>
          <t>GAGNEF</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15965-2023</t>
        </is>
      </c>
      <c r="B287" t="inlineStr">
        <is>
          <t>avverkningsanmälan</t>
        </is>
      </c>
      <c r="C287" t="inlineStr">
        <is>
          <t>Föryngringsavverkning</t>
        </is>
      </c>
      <c r="D287" s="1" t="n">
        <v>45022</v>
      </c>
      <c r="E287" s="1" t="n">
        <v>46218</v>
      </c>
      <c r="F287" t="inlineStr">
        <is>
          <t>DALARNAS LÄN</t>
        </is>
      </c>
      <c r="G287" t="inlineStr">
        <is>
          <t>GAGNEF</t>
        </is>
      </c>
      <c r="H287" t="inlineStr">
        <is>
          <t>Bergvik skog väst AB</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36127-2024</t>
        </is>
      </c>
      <c r="B288" t="inlineStr">
        <is>
          <t>avverkningsanmälan</t>
        </is>
      </c>
      <c r="C288" t="inlineStr">
        <is>
          <t>Föryngringsavverkning</t>
        </is>
      </c>
      <c r="D288" s="1" t="n">
        <v>45534</v>
      </c>
      <c r="E288" s="1" t="n">
        <v>46218</v>
      </c>
      <c r="F288" t="inlineStr">
        <is>
          <t>DALARNAS LÄN</t>
        </is>
      </c>
      <c r="G288" t="inlineStr">
        <is>
          <t>GAGNEF</t>
        </is>
      </c>
      <c r="H288" t="inlineStr">
        <is>
          <t>Bergvik skog väst AB</t>
        </is>
      </c>
      <c r="I288" t="n">
        <v>3.4</v>
      </c>
      <c r="J288" t="n">
        <v>0</v>
      </c>
      <c r="K288" t="n">
        <v>0</v>
      </c>
      <c r="L288" t="n">
        <v>0</v>
      </c>
      <c r="M288" t="n">
        <v>0</v>
      </c>
      <c r="N288" t="n">
        <v>0</v>
      </c>
      <c r="O288" t="n">
        <v>0</v>
      </c>
      <c r="P288" t="n">
        <v>0</v>
      </c>
      <c r="Q288" t="n">
        <v>0</v>
      </c>
      <c r="R288" t="n">
        <v>0</v>
      </c>
      <c r="S288" t="n">
        <v>0</v>
      </c>
      <c r="T288" t="n">
        <v>0</v>
      </c>
      <c r="U288" s="2" t="inlineStr"/>
    </row>
    <row r="289" ht="15" customHeight="1">
      <c r="A289" t="inlineStr">
        <is>
          <t>A 36132-2024</t>
        </is>
      </c>
      <c r="B289" t="inlineStr">
        <is>
          <t>avverkningsanmälan</t>
        </is>
      </c>
      <c r="C289" t="inlineStr">
        <is>
          <t>Föryngringsavverkning</t>
        </is>
      </c>
      <c r="D289" s="1" t="n">
        <v>45534</v>
      </c>
      <c r="E289" s="1" t="n">
        <v>46218</v>
      </c>
      <c r="F289" t="inlineStr">
        <is>
          <t>DALARNAS LÄN</t>
        </is>
      </c>
      <c r="G289" t="inlineStr">
        <is>
          <t>GAGNEF</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491-2025</t>
        </is>
      </c>
      <c r="B290" t="inlineStr">
        <is>
          <t>avverkningsanmälan</t>
        </is>
      </c>
      <c r="C290" t="inlineStr">
        <is>
          <t>Föryngringsavverkning</t>
        </is>
      </c>
      <c r="D290" s="1" t="n">
        <v>45664</v>
      </c>
      <c r="E290" s="1" t="n">
        <v>46218</v>
      </c>
      <c r="F290" t="inlineStr">
        <is>
          <t>DALARNAS LÄN</t>
        </is>
      </c>
      <c r="G290" t="inlineStr">
        <is>
          <t>GAGNEF</t>
        </is>
      </c>
      <c r="H290" t="inlineStr">
        <is>
          <t>Övriga statliga verk och myndigheter</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708-2026</t>
        </is>
      </c>
      <c r="B291" t="inlineStr">
        <is>
          <t>avverkningsanmälan</t>
        </is>
      </c>
      <c r="C291" t="inlineStr">
        <is>
          <t>Avverkning för att bevara och utveckla /försöksver</t>
        </is>
      </c>
      <c r="D291" s="1" t="n">
        <v>46029</v>
      </c>
      <c r="E291" s="1" t="n">
        <v>46218</v>
      </c>
      <c r="F291" t="inlineStr">
        <is>
          <t>DALARNAS LÄN</t>
        </is>
      </c>
      <c r="G291" t="inlineStr">
        <is>
          <t>GAGNEF</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63084-2025</t>
        </is>
      </c>
      <c r="B292" t="inlineStr">
        <is>
          <t>avverkningsanmälan</t>
        </is>
      </c>
      <c r="C292" t="inlineStr">
        <is>
          <t>Föryngringsavverkning</t>
        </is>
      </c>
      <c r="D292" s="1" t="n">
        <v>46009</v>
      </c>
      <c r="E292" s="1" t="n">
        <v>46218</v>
      </c>
      <c r="F292" t="inlineStr">
        <is>
          <t>DALARNAS LÄN</t>
        </is>
      </c>
      <c r="G292" t="inlineStr">
        <is>
          <t>GAGNEF</t>
        </is>
      </c>
      <c r="H292" t="inlineStr">
        <is>
          <t>Kyrkan</t>
        </is>
      </c>
      <c r="I292" t="n">
        <v>3.6</v>
      </c>
      <c r="J292" t="n">
        <v>0</v>
      </c>
      <c r="K292" t="n">
        <v>0</v>
      </c>
      <c r="L292" t="n">
        <v>0</v>
      </c>
      <c r="M292" t="n">
        <v>0</v>
      </c>
      <c r="N292" t="n">
        <v>0</v>
      </c>
      <c r="O292" t="n">
        <v>0</v>
      </c>
      <c r="P292" t="n">
        <v>0</v>
      </c>
      <c r="Q292" t="n">
        <v>0</v>
      </c>
      <c r="R292" t="n">
        <v>0</v>
      </c>
      <c r="S292" t="n">
        <v>0</v>
      </c>
      <c r="T292" t="n">
        <v>0</v>
      </c>
      <c r="U292" s="2" t="inlineStr"/>
    </row>
    <row r="293" ht="15" customHeight="1">
      <c r="A293" t="inlineStr">
        <is>
          <t>A 54018-2025</t>
        </is>
      </c>
      <c r="B293" t="inlineStr">
        <is>
          <t>avverkningsanmälan</t>
        </is>
      </c>
      <c r="C293" t="inlineStr">
        <is>
          <t>Föryngringsavverkning</t>
        </is>
      </c>
      <c r="D293" s="1" t="n">
        <v>45961</v>
      </c>
      <c r="E293" s="1" t="n">
        <v>46218</v>
      </c>
      <c r="F293" t="inlineStr">
        <is>
          <t>DALARNAS LÄN</t>
        </is>
      </c>
      <c r="G293" t="inlineStr">
        <is>
          <t>GAGNEF</t>
        </is>
      </c>
      <c r="I293" t="n">
        <v>5.1</v>
      </c>
      <c r="J293" t="n">
        <v>0</v>
      </c>
      <c r="K293" t="n">
        <v>0</v>
      </c>
      <c r="L293" t="n">
        <v>0</v>
      </c>
      <c r="M293" t="n">
        <v>0</v>
      </c>
      <c r="N293" t="n">
        <v>0</v>
      </c>
      <c r="O293" t="n">
        <v>0</v>
      </c>
      <c r="P293" t="n">
        <v>0</v>
      </c>
      <c r="Q293" t="n">
        <v>0</v>
      </c>
      <c r="R293" t="n">
        <v>0</v>
      </c>
      <c r="S293" t="n">
        <v>0</v>
      </c>
      <c r="T293" t="n">
        <v>0</v>
      </c>
      <c r="U293" s="2" t="inlineStr"/>
    </row>
    <row r="294" ht="15" customHeight="1">
      <c r="A294" t="inlineStr">
        <is>
          <t>A 2916-2026</t>
        </is>
      </c>
      <c r="B294" t="inlineStr">
        <is>
          <t>avverkningsanmälan</t>
        </is>
      </c>
      <c r="C294" t="inlineStr">
        <is>
          <t>Föryngringsavverkning</t>
        </is>
      </c>
      <c r="D294" s="1" t="n">
        <v>46038</v>
      </c>
      <c r="E294" s="1" t="n">
        <v>46218</v>
      </c>
      <c r="F294" t="inlineStr">
        <is>
          <t>DALARNAS LÄN</t>
        </is>
      </c>
      <c r="G294" t="inlineStr">
        <is>
          <t>GAGNEF</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3316-2022</t>
        </is>
      </c>
      <c r="B295" t="inlineStr">
        <is>
          <t>avverkningsanmälan</t>
        </is>
      </c>
      <c r="C295" t="inlineStr">
        <is>
          <t>Avverkning för annat ändamål</t>
        </is>
      </c>
      <c r="D295" s="1" t="n">
        <v>44585</v>
      </c>
      <c r="E295" s="1" t="n">
        <v>46218</v>
      </c>
      <c r="F295" t="inlineStr">
        <is>
          <t>DALARNAS LÄN</t>
        </is>
      </c>
      <c r="G295" t="inlineStr">
        <is>
          <t>GAGNEF</t>
        </is>
      </c>
      <c r="I295" t="n">
        <v>2.1</v>
      </c>
      <c r="J295" t="n">
        <v>0</v>
      </c>
      <c r="K295" t="n">
        <v>0</v>
      </c>
      <c r="L295" t="n">
        <v>0</v>
      </c>
      <c r="M295" t="n">
        <v>0</v>
      </c>
      <c r="N295" t="n">
        <v>0</v>
      </c>
      <c r="O295" t="n">
        <v>0</v>
      </c>
      <c r="P295" t="n">
        <v>0</v>
      </c>
      <c r="Q295" t="n">
        <v>0</v>
      </c>
      <c r="R295" t="n">
        <v>0</v>
      </c>
      <c r="S295" t="n">
        <v>0</v>
      </c>
      <c r="T295" t="n">
        <v>0</v>
      </c>
      <c r="U295" s="2" t="inlineStr"/>
    </row>
    <row r="296" ht="15" customHeight="1">
      <c r="A296" t="inlineStr">
        <is>
          <t>A 66613-2021</t>
        </is>
      </c>
      <c r="B296" t="inlineStr">
        <is>
          <t>avverkningsanmälan</t>
        </is>
      </c>
      <c r="C296" t="inlineStr">
        <is>
          <t>Avverkning för annat ändamål</t>
        </is>
      </c>
      <c r="D296" s="1" t="n">
        <v>44519</v>
      </c>
      <c r="E296" s="1" t="n">
        <v>46218</v>
      </c>
      <c r="F296" t="inlineStr">
        <is>
          <t>DALARNAS LÄN</t>
        </is>
      </c>
      <c r="G296" t="inlineStr">
        <is>
          <t>GAGNEF</t>
        </is>
      </c>
      <c r="I296" t="n">
        <v>0.2</v>
      </c>
      <c r="J296" t="n">
        <v>0</v>
      </c>
      <c r="K296" t="n">
        <v>0</v>
      </c>
      <c r="L296" t="n">
        <v>0</v>
      </c>
      <c r="M296" t="n">
        <v>0</v>
      </c>
      <c r="N296" t="n">
        <v>0</v>
      </c>
      <c r="O296" t="n">
        <v>0</v>
      </c>
      <c r="P296" t="n">
        <v>0</v>
      </c>
      <c r="Q296" t="n">
        <v>0</v>
      </c>
      <c r="R296" t="n">
        <v>0</v>
      </c>
      <c r="S296" t="n">
        <v>0</v>
      </c>
      <c r="T296" t="n">
        <v>0</v>
      </c>
      <c r="U296" s="2" t="inlineStr"/>
    </row>
    <row r="297" ht="15" customHeight="1">
      <c r="A297" t="inlineStr">
        <is>
          <t>A 24111-2026</t>
        </is>
      </c>
      <c r="B297" t="inlineStr">
        <is>
          <t>avverkningsanmälan</t>
        </is>
      </c>
      <c r="C297" t="inlineStr">
        <is>
          <t>Föryngringsavverkning</t>
        </is>
      </c>
      <c r="D297" s="1" t="n">
        <v>46168</v>
      </c>
      <c r="E297" s="1" t="n">
        <v>46218</v>
      </c>
      <c r="F297" t="inlineStr">
        <is>
          <t>DALARNAS LÄN</t>
        </is>
      </c>
      <c r="G297" t="inlineStr">
        <is>
          <t>GAGNEF</t>
        </is>
      </c>
      <c r="H297" t="inlineStr">
        <is>
          <t>Bergvik skog väst AB</t>
        </is>
      </c>
      <c r="I297" t="n">
        <v>6.4</v>
      </c>
      <c r="J297" t="n">
        <v>0</v>
      </c>
      <c r="K297" t="n">
        <v>0</v>
      </c>
      <c r="L297" t="n">
        <v>0</v>
      </c>
      <c r="M297" t="n">
        <v>0</v>
      </c>
      <c r="N297" t="n">
        <v>0</v>
      </c>
      <c r="O297" t="n">
        <v>0</v>
      </c>
      <c r="P297" t="n">
        <v>0</v>
      </c>
      <c r="Q297" t="n">
        <v>0</v>
      </c>
      <c r="R297" t="n">
        <v>0</v>
      </c>
      <c r="S297" t="n">
        <v>0</v>
      </c>
      <c r="T297" t="n">
        <v>0</v>
      </c>
      <c r="U297" s="2" t="inlineStr"/>
    </row>
    <row r="298" ht="15" customHeight="1">
      <c r="A298" t="inlineStr">
        <is>
          <t>A 10328-2026</t>
        </is>
      </c>
      <c r="B298" t="inlineStr">
        <is>
          <t>avverkningsanmälan</t>
        </is>
      </c>
      <c r="C298" t="inlineStr">
        <is>
          <t>Föryngringsavverkning</t>
        </is>
      </c>
      <c r="D298" s="1" t="n">
        <v>46076</v>
      </c>
      <c r="E298" s="1" t="n">
        <v>46218</v>
      </c>
      <c r="F298" t="inlineStr">
        <is>
          <t>DALARNAS LÄN</t>
        </is>
      </c>
      <c r="G298" t="inlineStr">
        <is>
          <t>GAGNEF</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24174-2026</t>
        </is>
      </c>
      <c r="B299" t="inlineStr">
        <is>
          <t>avverkningsanmälan</t>
        </is>
      </c>
      <c r="C299" t="inlineStr">
        <is>
          <t>Föryngringsavverkning</t>
        </is>
      </c>
      <c r="D299" s="1" t="n">
        <v>46168</v>
      </c>
      <c r="E299" s="1" t="n">
        <v>46218</v>
      </c>
      <c r="F299" t="inlineStr">
        <is>
          <t>DALARNAS LÄN</t>
        </is>
      </c>
      <c r="G299" t="inlineStr">
        <is>
          <t>GAGNEF</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24038-2026</t>
        </is>
      </c>
      <c r="B300" t="inlineStr">
        <is>
          <t>avverkningsanmälan</t>
        </is>
      </c>
      <c r="C300" t="inlineStr">
        <is>
          <t>Föryngringsavverkning</t>
        </is>
      </c>
      <c r="D300" s="1" t="n">
        <v>46167</v>
      </c>
      <c r="E300" s="1" t="n">
        <v>46218</v>
      </c>
      <c r="F300" t="inlineStr">
        <is>
          <t>DALARNAS LÄN</t>
        </is>
      </c>
      <c r="G300" t="inlineStr">
        <is>
          <t>GAGNEF</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4397-2026</t>
        </is>
      </c>
      <c r="B301" t="inlineStr">
        <is>
          <t>avverkningsanmälan</t>
        </is>
      </c>
      <c r="C301" t="inlineStr">
        <is>
          <t>Föryngringsavverkning</t>
        </is>
      </c>
      <c r="D301" s="1" t="n">
        <v>46045</v>
      </c>
      <c r="E301" s="1" t="n">
        <v>46218</v>
      </c>
      <c r="F301" t="inlineStr">
        <is>
          <t>DALARNAS LÄN</t>
        </is>
      </c>
      <c r="G301" t="inlineStr">
        <is>
          <t>GAGNEF</t>
        </is>
      </c>
      <c r="I301" t="n">
        <v>7.2</v>
      </c>
      <c r="J301" t="n">
        <v>0</v>
      </c>
      <c r="K301" t="n">
        <v>0</v>
      </c>
      <c r="L301" t="n">
        <v>0</v>
      </c>
      <c r="M301" t="n">
        <v>0</v>
      </c>
      <c r="N301" t="n">
        <v>0</v>
      </c>
      <c r="O301" t="n">
        <v>0</v>
      </c>
      <c r="P301" t="n">
        <v>0</v>
      </c>
      <c r="Q301" t="n">
        <v>0</v>
      </c>
      <c r="R301" t="n">
        <v>0</v>
      </c>
      <c r="S301" t="n">
        <v>0</v>
      </c>
      <c r="T301" t="n">
        <v>0</v>
      </c>
      <c r="U301" s="2" t="inlineStr"/>
    </row>
    <row r="302" ht="15" customHeight="1">
      <c r="A302" t="inlineStr">
        <is>
          <t>A 11311-2026</t>
        </is>
      </c>
      <c r="B302" t="inlineStr">
        <is>
          <t>avverkningsanmälan</t>
        </is>
      </c>
      <c r="C302" t="inlineStr">
        <is>
          <t>Föryngringsavverkning</t>
        </is>
      </c>
      <c r="D302" s="1" t="n">
        <v>46080</v>
      </c>
      <c r="E302" s="1" t="n">
        <v>46218</v>
      </c>
      <c r="F302" t="inlineStr">
        <is>
          <t>DALARNAS LÄN</t>
        </is>
      </c>
      <c r="G302" t="inlineStr">
        <is>
          <t>GAGNEF</t>
        </is>
      </c>
      <c r="I302" t="n">
        <v>3.9</v>
      </c>
      <c r="J302" t="n">
        <v>0</v>
      </c>
      <c r="K302" t="n">
        <v>0</v>
      </c>
      <c r="L302" t="n">
        <v>0</v>
      </c>
      <c r="M302" t="n">
        <v>0</v>
      </c>
      <c r="N302" t="n">
        <v>0</v>
      </c>
      <c r="O302" t="n">
        <v>0</v>
      </c>
      <c r="P302" t="n">
        <v>0</v>
      </c>
      <c r="Q302" t="n">
        <v>0</v>
      </c>
      <c r="R302" t="n">
        <v>0</v>
      </c>
      <c r="S302" t="n">
        <v>0</v>
      </c>
      <c r="T302" t="n">
        <v>0</v>
      </c>
      <c r="U302" s="2" t="inlineStr"/>
    </row>
    <row r="303" ht="15" customHeight="1">
      <c r="A303" t="inlineStr">
        <is>
          <t>A 24866-2026</t>
        </is>
      </c>
      <c r="B303" t="inlineStr">
        <is>
          <t>avverkningsanmälan</t>
        </is>
      </c>
      <c r="C303" t="inlineStr">
        <is>
          <t>Föryngringsavverkning</t>
        </is>
      </c>
      <c r="D303" s="1" t="n">
        <v>46174</v>
      </c>
      <c r="E303" s="1" t="n">
        <v>46218</v>
      </c>
      <c r="F303" t="inlineStr">
        <is>
          <t>DALARNAS LÄN</t>
        </is>
      </c>
      <c r="G303" t="inlineStr">
        <is>
          <t>GAGNEF</t>
        </is>
      </c>
      <c r="I303" t="n">
        <v>3.2</v>
      </c>
      <c r="J303" t="n">
        <v>0</v>
      </c>
      <c r="K303" t="n">
        <v>0</v>
      </c>
      <c r="L303" t="n">
        <v>0</v>
      </c>
      <c r="M303" t="n">
        <v>0</v>
      </c>
      <c r="N303" t="n">
        <v>0</v>
      </c>
      <c r="O303" t="n">
        <v>0</v>
      </c>
      <c r="P303" t="n">
        <v>0</v>
      </c>
      <c r="Q303" t="n">
        <v>0</v>
      </c>
      <c r="R303" t="n">
        <v>0</v>
      </c>
      <c r="S303" t="n">
        <v>0</v>
      </c>
      <c r="T303" t="n">
        <v>0</v>
      </c>
      <c r="U303" s="2" t="inlineStr"/>
    </row>
    <row r="304" ht="15" customHeight="1">
      <c r="A304" t="inlineStr">
        <is>
          <t>A 24788-2026</t>
        </is>
      </c>
      <c r="B304" t="inlineStr">
        <is>
          <t>avverkningsanmälan</t>
        </is>
      </c>
      <c r="C304" t="inlineStr">
        <is>
          <t>Föryngringsavverkning</t>
        </is>
      </c>
      <c r="D304" s="1" t="n">
        <v>46171</v>
      </c>
      <c r="E304" s="1" t="n">
        <v>46218</v>
      </c>
      <c r="F304" t="inlineStr">
        <is>
          <t>DALARNAS LÄN</t>
        </is>
      </c>
      <c r="G304" t="inlineStr">
        <is>
          <t>GAGNEF</t>
        </is>
      </c>
      <c r="H304" t="inlineStr">
        <is>
          <t>Kommuner</t>
        </is>
      </c>
      <c r="I304" t="n">
        <v>1.6</v>
      </c>
      <c r="J304" t="n">
        <v>0</v>
      </c>
      <c r="K304" t="n">
        <v>0</v>
      </c>
      <c r="L304" t="n">
        <v>0</v>
      </c>
      <c r="M304" t="n">
        <v>0</v>
      </c>
      <c r="N304" t="n">
        <v>0</v>
      </c>
      <c r="O304" t="n">
        <v>0</v>
      </c>
      <c r="P304" t="n">
        <v>0</v>
      </c>
      <c r="Q304" t="n">
        <v>0</v>
      </c>
      <c r="R304" t="n">
        <v>0</v>
      </c>
      <c r="S304" t="n">
        <v>0</v>
      </c>
      <c r="T304" t="n">
        <v>0</v>
      </c>
      <c r="U304" s="2" t="inlineStr"/>
    </row>
    <row r="305" ht="15" customHeight="1">
      <c r="A305" t="inlineStr">
        <is>
          <t>A 24856-2026</t>
        </is>
      </c>
      <c r="B305" t="inlineStr">
        <is>
          <t>avverkningsanmälan</t>
        </is>
      </c>
      <c r="C305" t="inlineStr">
        <is>
          <t>Föryngringsavverkning</t>
        </is>
      </c>
      <c r="D305" s="1" t="n">
        <v>46174</v>
      </c>
      <c r="E305" s="1" t="n">
        <v>46218</v>
      </c>
      <c r="F305" t="inlineStr">
        <is>
          <t>DALARNAS LÄN</t>
        </is>
      </c>
      <c r="G305" t="inlineStr">
        <is>
          <t>GAGNEF</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38723-2025</t>
        </is>
      </c>
      <c r="B306" t="inlineStr">
        <is>
          <t>avverkningsanmälan</t>
        </is>
      </c>
      <c r="C306" t="inlineStr">
        <is>
          <t>Föryngringsavverkning</t>
        </is>
      </c>
      <c r="D306" s="1" t="n">
        <v>45886</v>
      </c>
      <c r="E306" s="1" t="n">
        <v>46218</v>
      </c>
      <c r="F306" t="inlineStr">
        <is>
          <t>DALARNAS LÄN</t>
        </is>
      </c>
      <c r="G306" t="inlineStr">
        <is>
          <t>GAGNEF</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15548-2026</t>
        </is>
      </c>
      <c r="B307" t="inlineStr">
        <is>
          <t>avverkningsanmälan</t>
        </is>
      </c>
      <c r="C307" t="inlineStr">
        <is>
          <t>Föryngringsavverkning</t>
        </is>
      </c>
      <c r="D307" s="1" t="n">
        <v>46106</v>
      </c>
      <c r="E307" s="1" t="n">
        <v>46218</v>
      </c>
      <c r="F307" t="inlineStr">
        <is>
          <t>DALARNAS LÄN</t>
        </is>
      </c>
      <c r="G307" t="inlineStr">
        <is>
          <t>GAGNEF</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15184-2026</t>
        </is>
      </c>
      <c r="B308" t="inlineStr">
        <is>
          <t>avverkningsanmälan</t>
        </is>
      </c>
      <c r="C308" t="inlineStr">
        <is>
          <t>Föryngringsavverkning</t>
        </is>
      </c>
      <c r="D308" s="1" t="n">
        <v>46105</v>
      </c>
      <c r="E308" s="1" t="n">
        <v>46218</v>
      </c>
      <c r="F308" t="inlineStr">
        <is>
          <t>DALARNAS LÄN</t>
        </is>
      </c>
      <c r="G308" t="inlineStr">
        <is>
          <t>GAGNEF</t>
        </is>
      </c>
      <c r="H308" t="inlineStr">
        <is>
          <t>Bergvik skog väst AB</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15942-2026</t>
        </is>
      </c>
      <c r="B309" t="inlineStr">
        <is>
          <t>avverkningsanmälan</t>
        </is>
      </c>
      <c r="C309" t="inlineStr">
        <is>
          <t>Föryngringsavverkning</t>
        </is>
      </c>
      <c r="D309" s="1" t="n">
        <v>46107</v>
      </c>
      <c r="E309" s="1" t="n">
        <v>46218</v>
      </c>
      <c r="F309" t="inlineStr">
        <is>
          <t>DALARNAS LÄN</t>
        </is>
      </c>
      <c r="G309" t="inlineStr">
        <is>
          <t>GAGNEF</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15945-2026</t>
        </is>
      </c>
      <c r="B310" t="inlineStr">
        <is>
          <t>avverkningsanmälan</t>
        </is>
      </c>
      <c r="C310" t="inlineStr">
        <is>
          <t>Föryngringsavverkning</t>
        </is>
      </c>
      <c r="D310" s="1" t="n">
        <v>46107</v>
      </c>
      <c r="E310" s="1" t="n">
        <v>46218</v>
      </c>
      <c r="F310" t="inlineStr">
        <is>
          <t>DALARNAS LÄN</t>
        </is>
      </c>
      <c r="G310" t="inlineStr">
        <is>
          <t>GAGNEF</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17732-2026</t>
        </is>
      </c>
      <c r="B311" t="inlineStr">
        <is>
          <t>avverkningsanmälan</t>
        </is>
      </c>
      <c r="C311" t="inlineStr">
        <is>
          <t>Föryngringsavverkning</t>
        </is>
      </c>
      <c r="D311" s="1" t="n">
        <v>46121</v>
      </c>
      <c r="E311" s="1" t="n">
        <v>46218</v>
      </c>
      <c r="F311" t="inlineStr">
        <is>
          <t>DALARNAS LÄN</t>
        </is>
      </c>
      <c r="G311" t="inlineStr">
        <is>
          <t>GAGNEF</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18038-2026</t>
        </is>
      </c>
      <c r="B312" t="inlineStr">
        <is>
          <t>avverkningsanmälan</t>
        </is>
      </c>
      <c r="C312" t="inlineStr">
        <is>
          <t>Föryngringsavverkning</t>
        </is>
      </c>
      <c r="D312" s="1" t="n">
        <v>46125</v>
      </c>
      <c r="E312" s="1" t="n">
        <v>46218</v>
      </c>
      <c r="F312" t="inlineStr">
        <is>
          <t>DALARNAS LÄN</t>
        </is>
      </c>
      <c r="G312" t="inlineStr">
        <is>
          <t>GAGNEF</t>
        </is>
      </c>
      <c r="I312" t="n">
        <v>6.1</v>
      </c>
      <c r="J312" t="n">
        <v>0</v>
      </c>
      <c r="K312" t="n">
        <v>0</v>
      </c>
      <c r="L312" t="n">
        <v>0</v>
      </c>
      <c r="M312" t="n">
        <v>0</v>
      </c>
      <c r="N312" t="n">
        <v>0</v>
      </c>
      <c r="O312" t="n">
        <v>0</v>
      </c>
      <c r="P312" t="n">
        <v>0</v>
      </c>
      <c r="Q312" t="n">
        <v>0</v>
      </c>
      <c r="R312" t="n">
        <v>0</v>
      </c>
      <c r="S312" t="n">
        <v>0</v>
      </c>
      <c r="T312" t="n">
        <v>0</v>
      </c>
      <c r="U312" s="2" t="inlineStr"/>
    </row>
    <row r="313" ht="15" customHeight="1">
      <c r="A313" t="inlineStr">
        <is>
          <t>A 11261-2026</t>
        </is>
      </c>
      <c r="B313" t="inlineStr">
        <is>
          <t>avverkningsanmälan</t>
        </is>
      </c>
      <c r="C313" t="inlineStr">
        <is>
          <t>Föryngringsavverkning</t>
        </is>
      </c>
      <c r="D313" s="1" t="n">
        <v>46080</v>
      </c>
      <c r="E313" s="1" t="n">
        <v>46218</v>
      </c>
      <c r="F313" t="inlineStr">
        <is>
          <t>DALARNAS LÄN</t>
        </is>
      </c>
      <c r="G313" t="inlineStr">
        <is>
          <t>GAGNEF</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4601-2026</t>
        </is>
      </c>
      <c r="B314" t="inlineStr">
        <is>
          <t>avverkningsanmälan</t>
        </is>
      </c>
      <c r="C314" t="inlineStr">
        <is>
          <t>Föryngringsavverkning</t>
        </is>
      </c>
      <c r="D314" s="1" t="n">
        <v>46048</v>
      </c>
      <c r="E314" s="1" t="n">
        <v>46218</v>
      </c>
      <c r="F314" t="inlineStr">
        <is>
          <t>DALARNAS LÄN</t>
        </is>
      </c>
      <c r="G314" t="inlineStr">
        <is>
          <t>GAGNEF</t>
        </is>
      </c>
      <c r="H314" t="inlineStr">
        <is>
          <t>Bergvik skog väst AB</t>
        </is>
      </c>
      <c r="I314" t="n">
        <v>5.5</v>
      </c>
      <c r="J314" t="n">
        <v>0</v>
      </c>
      <c r="K314" t="n">
        <v>0</v>
      </c>
      <c r="L314" t="n">
        <v>0</v>
      </c>
      <c r="M314" t="n">
        <v>0</v>
      </c>
      <c r="N314" t="n">
        <v>0</v>
      </c>
      <c r="O314" t="n">
        <v>0</v>
      </c>
      <c r="P314" t="n">
        <v>0</v>
      </c>
      <c r="Q314" t="n">
        <v>0</v>
      </c>
      <c r="R314" t="n">
        <v>0</v>
      </c>
      <c r="S314" t="n">
        <v>0</v>
      </c>
      <c r="T314" t="n">
        <v>0</v>
      </c>
      <c r="U314" s="2" t="inlineStr"/>
    </row>
    <row r="315" ht="15" customHeight="1">
      <c r="A315" t="inlineStr">
        <is>
          <t>A 20306-2026</t>
        </is>
      </c>
      <c r="B315" t="inlineStr">
        <is>
          <t>avverkningsanmälan</t>
        </is>
      </c>
      <c r="C315" t="inlineStr">
        <is>
          <t>Föryngringsavverkning</t>
        </is>
      </c>
      <c r="D315" s="1" t="n">
        <v>46139</v>
      </c>
      <c r="E315" s="1" t="n">
        <v>46218</v>
      </c>
      <c r="F315" t="inlineStr">
        <is>
          <t>DALARNAS LÄN</t>
        </is>
      </c>
      <c r="G315" t="inlineStr">
        <is>
          <t>GAGNEF</t>
        </is>
      </c>
      <c r="I315" t="n">
        <v>5.5</v>
      </c>
      <c r="J315" t="n">
        <v>0</v>
      </c>
      <c r="K315" t="n">
        <v>0</v>
      </c>
      <c r="L315" t="n">
        <v>0</v>
      </c>
      <c r="M315" t="n">
        <v>0</v>
      </c>
      <c r="N315" t="n">
        <v>0</v>
      </c>
      <c r="O315" t="n">
        <v>0</v>
      </c>
      <c r="P315" t="n">
        <v>0</v>
      </c>
      <c r="Q315" t="n">
        <v>0</v>
      </c>
      <c r="R315" t="n">
        <v>0</v>
      </c>
      <c r="S315" t="n">
        <v>0</v>
      </c>
      <c r="T315" t="n">
        <v>0</v>
      </c>
      <c r="U315" s="2" t="inlineStr"/>
    </row>
    <row r="316" ht="15" customHeight="1">
      <c r="A316" t="inlineStr">
        <is>
          <t>A 43706-2025</t>
        </is>
      </c>
      <c r="B316" t="inlineStr">
        <is>
          <t>avverkningsanmälan</t>
        </is>
      </c>
      <c r="C316" t="inlineStr">
        <is>
          <t>Föryngringsavverkning</t>
        </is>
      </c>
      <c r="D316" s="1" t="n">
        <v>45912</v>
      </c>
      <c r="E316" s="1" t="n">
        <v>46218</v>
      </c>
      <c r="F316" t="inlineStr">
        <is>
          <t>DALARNAS LÄN</t>
        </is>
      </c>
      <c r="G316" t="inlineStr">
        <is>
          <t>GAGNEF</t>
        </is>
      </c>
      <c r="I316" t="n">
        <v>3.4</v>
      </c>
      <c r="J316" t="n">
        <v>0</v>
      </c>
      <c r="K316" t="n">
        <v>0</v>
      </c>
      <c r="L316" t="n">
        <v>0</v>
      </c>
      <c r="M316" t="n">
        <v>0</v>
      </c>
      <c r="N316" t="n">
        <v>0</v>
      </c>
      <c r="O316" t="n">
        <v>0</v>
      </c>
      <c r="P316" t="n">
        <v>0</v>
      </c>
      <c r="Q316" t="n">
        <v>0</v>
      </c>
      <c r="R316" t="n">
        <v>0</v>
      </c>
      <c r="S316" t="n">
        <v>0</v>
      </c>
      <c r="T316" t="n">
        <v>0</v>
      </c>
      <c r="U316" s="2" t="inlineStr"/>
    </row>
    <row r="317" ht="15" customHeight="1">
      <c r="A317" t="inlineStr">
        <is>
          <t>A 38426-2024</t>
        </is>
      </c>
      <c r="B317" t="inlineStr">
        <is>
          <t>avverkningsanmälan</t>
        </is>
      </c>
      <c r="C317" t="inlineStr">
        <is>
          <t>Föryngringsavverkning</t>
        </is>
      </c>
      <c r="D317" s="1" t="n">
        <v>45546</v>
      </c>
      <c r="E317" s="1" t="n">
        <v>46218</v>
      </c>
      <c r="F317" t="inlineStr">
        <is>
          <t>DALARNAS LÄN</t>
        </is>
      </c>
      <c r="G317" t="inlineStr">
        <is>
          <t>GAGNEF</t>
        </is>
      </c>
      <c r="H317" t="inlineStr">
        <is>
          <t>Bergvik skog väst AB</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S 954-2021</t>
        </is>
      </c>
      <c r="B318" t="inlineStr">
        <is>
          <t>samrådsanmälan</t>
        </is>
      </c>
      <c r="C318" t="inlineStr">
        <is>
          <t>Åtgärd i nyckelbiotop</t>
        </is>
      </c>
      <c r="D318" s="1" t="n">
        <v>44315</v>
      </c>
      <c r="E318" s="1" t="n">
        <v>46218</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S 4984-2021</t>
        </is>
      </c>
      <c r="B319" t="inlineStr">
        <is>
          <t>samrådsanmälan</t>
        </is>
      </c>
      <c r="C319" t="inlineStr">
        <is>
          <t>Askåterföring</t>
        </is>
      </c>
      <c r="D319" s="1" t="n">
        <v>44419</v>
      </c>
      <c r="E319" s="1" t="n">
        <v>46218</v>
      </c>
      <c r="F319" t="inlineStr">
        <is>
          <t>DALARNAS LÄN</t>
        </is>
      </c>
      <c r="G319" t="inlineStr">
        <is>
          <t>GAGNEF</t>
        </is>
      </c>
      <c r="I319" t="n">
        <v>9.699999999999999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S 460-2024</t>
        </is>
      </c>
      <c r="B320" t="inlineStr">
        <is>
          <t>samrådsanmälan</t>
        </is>
      </c>
      <c r="C320" t="inlineStr">
        <is>
          <t>Annan skogsbruksåtgärd</t>
        </is>
      </c>
      <c r="D320" s="1" t="n">
        <v>45341</v>
      </c>
      <c r="E320" s="1" t="n">
        <v>46218</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S 9014-2021</t>
        </is>
      </c>
      <c r="B321" t="inlineStr">
        <is>
          <t>samrådsanmälan</t>
        </is>
      </c>
      <c r="C321" t="inlineStr">
        <is>
          <t>Annan skogsbruksåtgärd</t>
        </is>
      </c>
      <c r="D321" s="1" t="n">
        <v>44510</v>
      </c>
      <c r="E321" s="1" t="n">
        <v>46218</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939-2024</t>
        </is>
      </c>
      <c r="B322" t="inlineStr">
        <is>
          <t>samrådsanmälan</t>
        </is>
      </c>
      <c r="C322" t="inlineStr">
        <is>
          <t>Skogsgödsling</t>
        </is>
      </c>
      <c r="D322" s="1" t="n">
        <v>45377</v>
      </c>
      <c r="E322" s="1" t="n">
        <v>46218</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s="2" t="inlineStr"/>
    </row>
    <row r="323" ht="15" customHeight="1">
      <c r="A323" t="inlineStr">
        <is>
          <t>S 80-2023</t>
        </is>
      </c>
      <c r="B323" t="inlineStr">
        <is>
          <t>samrådsanmälan</t>
        </is>
      </c>
      <c r="C323" t="inlineStr">
        <is>
          <t>Annan skogsbruksåtgärd</t>
        </is>
      </c>
      <c r="D323" s="1" t="n">
        <v>44935</v>
      </c>
      <c r="E323" s="1" t="n">
        <v>46218</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S 1669-2022</t>
        </is>
      </c>
      <c r="B324" t="inlineStr">
        <is>
          <t>samrådsanmälan</t>
        </is>
      </c>
      <c r="C324" t="inlineStr">
        <is>
          <t>Askåterföring</t>
        </is>
      </c>
      <c r="D324" s="1" t="n">
        <v>44649</v>
      </c>
      <c r="E324" s="1" t="n">
        <v>46218</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s="2" t="inlineStr"/>
    </row>
    <row r="325" ht="15" customHeight="1">
      <c r="A325" t="inlineStr">
        <is>
          <t>S 488-2023</t>
        </is>
      </c>
      <c r="B325" t="inlineStr">
        <is>
          <t>samrådsanmälan</t>
        </is>
      </c>
      <c r="C325" t="inlineStr">
        <is>
          <t>Askåterföring</t>
        </is>
      </c>
      <c r="D325" s="1" t="n">
        <v>44963</v>
      </c>
      <c r="E325" s="1" t="n">
        <v>46218</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s="2" t="inlineStr"/>
    </row>
    <row r="326" ht="15" customHeight="1">
      <c r="A326" t="inlineStr">
        <is>
          <t>S 485-2023</t>
        </is>
      </c>
      <c r="B326" t="inlineStr">
        <is>
          <t>samrådsanmälan</t>
        </is>
      </c>
      <c r="C326" t="inlineStr">
        <is>
          <t>Askåterföring</t>
        </is>
      </c>
      <c r="D326" s="1" t="n">
        <v>44963</v>
      </c>
      <c r="E326" s="1" t="n">
        <v>46218</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s="2" t="inlineStr"/>
    </row>
    <row r="327" ht="15" customHeight="1">
      <c r="A327" t="inlineStr">
        <is>
          <t>S 638-2026</t>
        </is>
      </c>
      <c r="B327" t="inlineStr">
        <is>
          <t>samrådsanmälan</t>
        </is>
      </c>
      <c r="C327" t="inlineStr">
        <is>
          <t>Annan skogsbruksåtgärd</t>
        </is>
      </c>
      <c r="D327" s="1" t="n">
        <v>46088</v>
      </c>
      <c r="E327" s="1" t="n">
        <v>46218</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s="2" t="inlineStr"/>
    </row>
    <row r="328">
      <c r="A328" t="inlineStr">
        <is>
          <t>S 1661-2026</t>
        </is>
      </c>
      <c r="B328" t="inlineStr">
        <is>
          <t>samrådsanmälan</t>
        </is>
      </c>
      <c r="C328" t="inlineStr">
        <is>
          <t>Annan skogsbruksåtgärd</t>
        </is>
      </c>
      <c r="D328" s="1" t="n">
        <v>46181</v>
      </c>
      <c r="E328" s="1" t="n">
        <v>46218</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2026-07-15T01:26:32Z</dcterms:created>
  <dcterms:modified xmlns:dcterms="http://purl.org/dc/terms/" xmlns:xsi="http://www.w3.org/2001/XMLSchema-instance" xsi:type="dcterms:W3CDTF">2026-07-15T01:26:32Z</dcterms:modified>
</cp:coreProperties>
</file>