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46137</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46137</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46137</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46137</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46137</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46137</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46137</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46137</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46137</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46137</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46137</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63654-2023</t>
        </is>
      </c>
      <c r="B18" s="1" t="n">
        <v>45275</v>
      </c>
      <c r="C18" s="1" t="n">
        <v>46137</v>
      </c>
      <c r="D18" t="inlineStr">
        <is>
          <t>DALARNAS LÄN</t>
        </is>
      </c>
      <c r="E18" t="inlineStr">
        <is>
          <t>GAGNEF</t>
        </is>
      </c>
      <c r="G18" t="n">
        <v>5</v>
      </c>
      <c r="H18" t="n">
        <v>0</v>
      </c>
      <c r="I18" t="n">
        <v>1</v>
      </c>
      <c r="J18" t="n">
        <v>1</v>
      </c>
      <c r="K18" t="n">
        <v>0</v>
      </c>
      <c r="L18" t="n">
        <v>0</v>
      </c>
      <c r="M18" t="n">
        <v>0</v>
      </c>
      <c r="N18" t="n">
        <v>0</v>
      </c>
      <c r="O18" t="n">
        <v>1</v>
      </c>
      <c r="P18" t="n">
        <v>0</v>
      </c>
      <c r="Q18" t="n">
        <v>2</v>
      </c>
      <c r="R18" s="2" t="inlineStr">
        <is>
          <t>Garnlav
Trådticka</t>
        </is>
      </c>
      <c r="S18">
        <f>HYPERLINK("https://klasma.github.io/Logging_2026/artfynd/A 63654-2023 artfynd.xlsx", "A 63654-2023")</f>
        <v/>
      </c>
      <c r="T18">
        <f>HYPERLINK("https://klasma.github.io/Logging_2026/kartor/A 63654-2023 karta.png", "A 63654-2023")</f>
        <v/>
      </c>
      <c r="V18">
        <f>HYPERLINK("https://klasma.github.io/Logging_2026/klagomål/A 63654-2023 FSC-klagomål.docx", "A 63654-2023")</f>
        <v/>
      </c>
      <c r="W18">
        <f>HYPERLINK("https://klasma.github.io/Logging_2026/klagomålsmail/A 63654-2023 FSC-klagomål mail.docx", "A 63654-2023")</f>
        <v/>
      </c>
      <c r="X18">
        <f>HYPERLINK("https://klasma.github.io/Logging_2026/tillsyn/A 63654-2023 tillsynsbegäran.docx", "A 63654-2023")</f>
        <v/>
      </c>
      <c r="Y18">
        <f>HYPERLINK("https://klasma.github.io/Logging_2026/tillsynsmail/A 63654-2023 tillsynsbegäran mail.docx", "A 63654-2023")</f>
        <v/>
      </c>
    </row>
    <row r="19" ht="15" customHeight="1">
      <c r="A19" t="inlineStr">
        <is>
          <t>A 52436-2024</t>
        </is>
      </c>
      <c r="B19" s="1" t="n">
        <v>45608</v>
      </c>
      <c r="C19" s="1" t="n">
        <v>46137</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34418-2025</t>
        </is>
      </c>
      <c r="B20" s="1" t="n">
        <v>45846.65744212963</v>
      </c>
      <c r="C20" s="1" t="n">
        <v>46137</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3115-2026</t>
        </is>
      </c>
      <c r="B21" s="1" t="n">
        <v>46041</v>
      </c>
      <c r="C21" s="1" t="n">
        <v>46137</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46137</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46137</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16480-2026</t>
        </is>
      </c>
      <c r="B24" s="1" t="n">
        <v>46112.39954861111</v>
      </c>
      <c r="C24" s="1" t="n">
        <v>46137</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47815-2024</t>
        </is>
      </c>
      <c r="B25" s="1" t="n">
        <v>45588.62069444444</v>
      </c>
      <c r="C25" s="1" t="n">
        <v>46137</v>
      </c>
      <c r="D25" t="inlineStr">
        <is>
          <t>DALARNAS LÄN</t>
        </is>
      </c>
      <c r="E25" t="inlineStr">
        <is>
          <t>GAGNEF</t>
        </is>
      </c>
      <c r="G25" t="n">
        <v>1.6</v>
      </c>
      <c r="H25" t="n">
        <v>1</v>
      </c>
      <c r="I25" t="n">
        <v>1</v>
      </c>
      <c r="J25" t="n">
        <v>1</v>
      </c>
      <c r="K25" t="n">
        <v>0</v>
      </c>
      <c r="L25" t="n">
        <v>0</v>
      </c>
      <c r="M25" t="n">
        <v>0</v>
      </c>
      <c r="N25" t="n">
        <v>0</v>
      </c>
      <c r="O25" t="n">
        <v>1</v>
      </c>
      <c r="P25" t="n">
        <v>0</v>
      </c>
      <c r="Q25" t="n">
        <v>2</v>
      </c>
      <c r="R25" s="2" t="inlineStr">
        <is>
          <t>Tretåig hackspett
Bollvitmossa</t>
        </is>
      </c>
      <c r="S25">
        <f>HYPERLINK("https://klasma.github.io/Logging_2026/artfynd/A 47815-2024 artfynd.xlsx", "A 47815-2024")</f>
        <v/>
      </c>
      <c r="T25">
        <f>HYPERLINK("https://klasma.github.io/Logging_2026/kartor/A 47815-2024 karta.png", "A 47815-2024")</f>
        <v/>
      </c>
      <c r="V25">
        <f>HYPERLINK("https://klasma.github.io/Logging_2026/klagomål/A 47815-2024 FSC-klagomål.docx", "A 47815-2024")</f>
        <v/>
      </c>
      <c r="W25">
        <f>HYPERLINK("https://klasma.github.io/Logging_2026/klagomålsmail/A 47815-2024 FSC-klagomål mail.docx", "A 47815-2024")</f>
        <v/>
      </c>
      <c r="X25">
        <f>HYPERLINK("https://klasma.github.io/Logging_2026/tillsyn/A 47815-2024 tillsynsbegäran.docx", "A 47815-2024")</f>
        <v/>
      </c>
      <c r="Y25">
        <f>HYPERLINK("https://klasma.github.io/Logging_2026/tillsynsmail/A 47815-2024 tillsynsbegäran mail.docx", "A 47815-2024")</f>
        <v/>
      </c>
      <c r="Z25">
        <f>HYPERLINK("https://klasma.github.io/Logging_2026/fåglar/A 47815-2024 prioriterade fågelarter.docx", "A 47815-2024")</f>
        <v/>
      </c>
    </row>
    <row r="26" ht="15" customHeight="1">
      <c r="A26" t="inlineStr">
        <is>
          <t>A 37131-2021</t>
        </is>
      </c>
      <c r="B26" s="1" t="n">
        <v>44396</v>
      </c>
      <c r="C26" s="1" t="n">
        <v>46137</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46137</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46137</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46137</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46137</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46137</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46137</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36510-2025</t>
        </is>
      </c>
      <c r="B33" s="1" t="n">
        <v>45869</v>
      </c>
      <c r="C33" s="1" t="n">
        <v>46137</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61316-2025</t>
        </is>
      </c>
      <c r="B34" s="1" t="n">
        <v>46000.93822916667</v>
      </c>
      <c r="C34" s="1" t="n">
        <v>46137</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46137</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13950-2026</t>
        </is>
      </c>
      <c r="B36" s="1" t="n">
        <v>46098</v>
      </c>
      <c r="C36" s="1" t="n">
        <v>46137</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676-2026</t>
        </is>
      </c>
      <c r="B37" s="1" t="n">
        <v>46029.59697916666</v>
      </c>
      <c r="C37" s="1" t="n">
        <v>46137</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17730-2026</t>
        </is>
      </c>
      <c r="B38" s="1" t="n">
        <v>46121.88876157408</v>
      </c>
      <c r="C38" s="1" t="n">
        <v>46137</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61787-2024</t>
        </is>
      </c>
      <c r="B39" s="1" t="n">
        <v>45649.48122685185</v>
      </c>
      <c r="C39" s="1" t="n">
        <v>46137</v>
      </c>
      <c r="D39" t="inlineStr">
        <is>
          <t>DALARNAS LÄN</t>
        </is>
      </c>
      <c r="E39" t="inlineStr">
        <is>
          <t>GAGNEF</t>
        </is>
      </c>
      <c r="G39" t="n">
        <v>1.6</v>
      </c>
      <c r="H39" t="n">
        <v>0</v>
      </c>
      <c r="I39" t="n">
        <v>0</v>
      </c>
      <c r="J39" t="n">
        <v>1</v>
      </c>
      <c r="K39" t="n">
        <v>0</v>
      </c>
      <c r="L39" t="n">
        <v>0</v>
      </c>
      <c r="M39" t="n">
        <v>0</v>
      </c>
      <c r="N39" t="n">
        <v>0</v>
      </c>
      <c r="O39" t="n">
        <v>1</v>
      </c>
      <c r="P39" t="n">
        <v>0</v>
      </c>
      <c r="Q39" t="n">
        <v>1</v>
      </c>
      <c r="R39" s="2" t="inlineStr">
        <is>
          <t>Tallticka</t>
        </is>
      </c>
      <c r="S39">
        <f>HYPERLINK("https://klasma.github.io/Logging_2026/artfynd/A 61787-2024 artfynd.xlsx", "A 61787-2024")</f>
        <v/>
      </c>
      <c r="T39">
        <f>HYPERLINK("https://klasma.github.io/Logging_2026/kartor/A 61787-2024 karta.png", "A 61787-2024")</f>
        <v/>
      </c>
      <c r="V39">
        <f>HYPERLINK("https://klasma.github.io/Logging_2026/klagomål/A 61787-2024 FSC-klagomål.docx", "A 61787-2024")</f>
        <v/>
      </c>
      <c r="W39">
        <f>HYPERLINK("https://klasma.github.io/Logging_2026/klagomålsmail/A 61787-2024 FSC-klagomål mail.docx", "A 61787-2024")</f>
        <v/>
      </c>
      <c r="X39">
        <f>HYPERLINK("https://klasma.github.io/Logging_2026/tillsyn/A 61787-2024 tillsynsbegäran.docx", "A 61787-2024")</f>
        <v/>
      </c>
      <c r="Y39">
        <f>HYPERLINK("https://klasma.github.io/Logging_2026/tillsynsmail/A 61787-2024 tillsynsbegäran mail.docx", "A 61787-2024")</f>
        <v/>
      </c>
    </row>
    <row r="40" ht="15" customHeight="1">
      <c r="A40" t="inlineStr">
        <is>
          <t>A 11285-2025</t>
        </is>
      </c>
      <c r="B40" s="1" t="n">
        <v>45726.42420138889</v>
      </c>
      <c r="C40" s="1" t="n">
        <v>46137</v>
      </c>
      <c r="D40" t="inlineStr">
        <is>
          <t>DALARNAS LÄN</t>
        </is>
      </c>
      <c r="E40" t="inlineStr">
        <is>
          <t>GAGNEF</t>
        </is>
      </c>
      <c r="G40" t="n">
        <v>12.2</v>
      </c>
      <c r="H40" t="n">
        <v>1</v>
      </c>
      <c r="I40" t="n">
        <v>0</v>
      </c>
      <c r="J40" t="n">
        <v>0</v>
      </c>
      <c r="K40" t="n">
        <v>0</v>
      </c>
      <c r="L40" t="n">
        <v>0</v>
      </c>
      <c r="M40" t="n">
        <v>0</v>
      </c>
      <c r="N40" t="n">
        <v>0</v>
      </c>
      <c r="O40" t="n">
        <v>0</v>
      </c>
      <c r="P40" t="n">
        <v>0</v>
      </c>
      <c r="Q40" t="n">
        <v>1</v>
      </c>
      <c r="R40" s="2" t="inlineStr">
        <is>
          <t>Fläcknycklar</t>
        </is>
      </c>
      <c r="S40">
        <f>HYPERLINK("https://klasma.github.io/Logging_2026/artfynd/A 11285-2025 artfynd.xlsx", "A 11285-2025")</f>
        <v/>
      </c>
      <c r="T40">
        <f>HYPERLINK("https://klasma.github.io/Logging_2026/kartor/A 11285-2025 karta.png", "A 11285-2025")</f>
        <v/>
      </c>
      <c r="V40">
        <f>HYPERLINK("https://klasma.github.io/Logging_2026/klagomål/A 11285-2025 FSC-klagomål.docx", "A 11285-2025")</f>
        <v/>
      </c>
      <c r="W40">
        <f>HYPERLINK("https://klasma.github.io/Logging_2026/klagomålsmail/A 11285-2025 FSC-klagomål mail.docx", "A 11285-2025")</f>
        <v/>
      </c>
      <c r="X40">
        <f>HYPERLINK("https://klasma.github.io/Logging_2026/tillsyn/A 11285-2025 tillsynsbegäran.docx", "A 11285-2025")</f>
        <v/>
      </c>
      <c r="Y40">
        <f>HYPERLINK("https://klasma.github.io/Logging_2026/tillsynsmail/A 11285-2025 tillsynsbegäran mail.docx", "A 11285-2025")</f>
        <v/>
      </c>
    </row>
    <row r="41" ht="15" customHeight="1">
      <c r="A41" t="inlineStr">
        <is>
          <t>A 8026-2022</t>
        </is>
      </c>
      <c r="B41" s="1" t="n">
        <v>44609</v>
      </c>
      <c r="C41" s="1" t="n">
        <v>46137</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46137</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46137</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46137</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46137</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46137</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46137</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46137</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46137</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46137</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46137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22375-2022</t>
        </is>
      </c>
      <c r="B52" s="1" t="n">
        <v>44713.41631944444</v>
      </c>
      <c r="C52" s="1" t="n">
        <v>46137</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46137</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46137</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46137</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46137</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46137</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46137</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46137</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46137</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46137</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46137</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4375-2024</t>
        </is>
      </c>
      <c r="B63" s="1" t="n">
        <v>45326.74480324074</v>
      </c>
      <c r="C63" s="1" t="n">
        <v>46137</v>
      </c>
      <c r="D63" t="inlineStr">
        <is>
          <t>DALARNAS LÄN</t>
        </is>
      </c>
      <c r="E63" t="inlineStr">
        <is>
          <t>GAGNEF</t>
        </is>
      </c>
      <c r="G63" t="n">
        <v>9.300000000000001</v>
      </c>
      <c r="H63" t="n">
        <v>0</v>
      </c>
      <c r="I63" t="n">
        <v>0</v>
      </c>
      <c r="J63" t="n">
        <v>0</v>
      </c>
      <c r="K63" t="n">
        <v>0</v>
      </c>
      <c r="L63" t="n">
        <v>0</v>
      </c>
      <c r="M63" t="n">
        <v>0</v>
      </c>
      <c r="N63" t="n">
        <v>0</v>
      </c>
      <c r="O63" t="n">
        <v>0</v>
      </c>
      <c r="P63" t="n">
        <v>0</v>
      </c>
      <c r="Q63" t="n">
        <v>0</v>
      </c>
      <c r="R63" s="2" t="inlineStr"/>
    </row>
    <row r="64" ht="15" customHeight="1">
      <c r="A64" t="inlineStr">
        <is>
          <t>A 20221-2022</t>
        </is>
      </c>
      <c r="B64" s="1" t="n">
        <v>44698.59915509259</v>
      </c>
      <c r="C64" s="1" t="n">
        <v>46137</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44698.58943287037</v>
      </c>
      <c r="C65" s="1" t="n">
        <v>46137</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36005-2023</t>
        </is>
      </c>
      <c r="B66" s="1" t="n">
        <v>45148</v>
      </c>
      <c r="C66" s="1" t="n">
        <v>46137</v>
      </c>
      <c r="D66" t="inlineStr">
        <is>
          <t>DALARNAS LÄN</t>
        </is>
      </c>
      <c r="E66" t="inlineStr">
        <is>
          <t>GAGNEF</t>
        </is>
      </c>
      <c r="G66" t="n">
        <v>1.2</v>
      </c>
      <c r="H66" t="n">
        <v>0</v>
      </c>
      <c r="I66" t="n">
        <v>0</v>
      </c>
      <c r="J66" t="n">
        <v>0</v>
      </c>
      <c r="K66" t="n">
        <v>0</v>
      </c>
      <c r="L66" t="n">
        <v>0</v>
      </c>
      <c r="M66" t="n">
        <v>0</v>
      </c>
      <c r="N66" t="n">
        <v>0</v>
      </c>
      <c r="O66" t="n">
        <v>0</v>
      </c>
      <c r="P66" t="n">
        <v>0</v>
      </c>
      <c r="Q66" t="n">
        <v>0</v>
      </c>
      <c r="R66" s="2" t="inlineStr"/>
    </row>
    <row r="67" ht="15" customHeight="1">
      <c r="A67" t="inlineStr">
        <is>
          <t>A 37245-2021</t>
        </is>
      </c>
      <c r="B67" s="1" t="n">
        <v>44396</v>
      </c>
      <c r="C67" s="1" t="n">
        <v>46137</v>
      </c>
      <c r="D67" t="inlineStr">
        <is>
          <t>DALARNAS LÄN</t>
        </is>
      </c>
      <c r="E67" t="inlineStr">
        <is>
          <t>GAGNEF</t>
        </is>
      </c>
      <c r="G67" t="n">
        <v>9.199999999999999</v>
      </c>
      <c r="H67" t="n">
        <v>0</v>
      </c>
      <c r="I67" t="n">
        <v>0</v>
      </c>
      <c r="J67" t="n">
        <v>0</v>
      </c>
      <c r="K67" t="n">
        <v>0</v>
      </c>
      <c r="L67" t="n">
        <v>0</v>
      </c>
      <c r="M67" t="n">
        <v>0</v>
      </c>
      <c r="N67" t="n">
        <v>0</v>
      </c>
      <c r="O67" t="n">
        <v>0</v>
      </c>
      <c r="P67" t="n">
        <v>0</v>
      </c>
      <c r="Q67" t="n">
        <v>0</v>
      </c>
      <c r="R67" s="2" t="inlineStr"/>
    </row>
    <row r="68" ht="15" customHeight="1">
      <c r="A68" t="inlineStr">
        <is>
          <t>A 41368-2023</t>
        </is>
      </c>
      <c r="B68" s="1" t="n">
        <v>45174</v>
      </c>
      <c r="C68" s="1" t="n">
        <v>46137</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23654-2023</t>
        </is>
      </c>
      <c r="B69" s="1" t="n">
        <v>45077</v>
      </c>
      <c r="C69" s="1" t="n">
        <v>46137</v>
      </c>
      <c r="D69" t="inlineStr">
        <is>
          <t>DALARNAS LÄN</t>
        </is>
      </c>
      <c r="E69" t="inlineStr">
        <is>
          <t>GAGNEF</t>
        </is>
      </c>
      <c r="G69" t="n">
        <v>3</v>
      </c>
      <c r="H69" t="n">
        <v>0</v>
      </c>
      <c r="I69" t="n">
        <v>0</v>
      </c>
      <c r="J69" t="n">
        <v>0</v>
      </c>
      <c r="K69" t="n">
        <v>0</v>
      </c>
      <c r="L69" t="n">
        <v>0</v>
      </c>
      <c r="M69" t="n">
        <v>0</v>
      </c>
      <c r="N69" t="n">
        <v>0</v>
      </c>
      <c r="O69" t="n">
        <v>0</v>
      </c>
      <c r="P69" t="n">
        <v>0</v>
      </c>
      <c r="Q69" t="n">
        <v>0</v>
      </c>
      <c r="R69" s="2" t="inlineStr"/>
    </row>
    <row r="70" ht="15" customHeight="1">
      <c r="A70" t="inlineStr">
        <is>
          <t>A 5294-2025</t>
        </is>
      </c>
      <c r="B70" s="1" t="n">
        <v>45692.44940972222</v>
      </c>
      <c r="C70" s="1" t="n">
        <v>46137</v>
      </c>
      <c r="D70" t="inlineStr">
        <is>
          <t>DALARNAS LÄN</t>
        </is>
      </c>
      <c r="E70" t="inlineStr">
        <is>
          <t>GAGNEF</t>
        </is>
      </c>
      <c r="G70" t="n">
        <v>6.2</v>
      </c>
      <c r="H70" t="n">
        <v>0</v>
      </c>
      <c r="I70" t="n">
        <v>0</v>
      </c>
      <c r="J70" t="n">
        <v>0</v>
      </c>
      <c r="K70" t="n">
        <v>0</v>
      </c>
      <c r="L70" t="n">
        <v>0</v>
      </c>
      <c r="M70" t="n">
        <v>0</v>
      </c>
      <c r="N70" t="n">
        <v>0</v>
      </c>
      <c r="O70" t="n">
        <v>0</v>
      </c>
      <c r="P70" t="n">
        <v>0</v>
      </c>
      <c r="Q70" t="n">
        <v>0</v>
      </c>
      <c r="R70" s="2" t="inlineStr"/>
    </row>
    <row r="71" ht="15" customHeight="1">
      <c r="A71" t="inlineStr">
        <is>
          <t>A 55398-2022</t>
        </is>
      </c>
      <c r="B71" s="1" t="n">
        <v>44887.5738425926</v>
      </c>
      <c r="C71" s="1" t="n">
        <v>46137</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28559-2024</t>
        </is>
      </c>
      <c r="B72" s="1" t="n">
        <v>45478.38052083334</v>
      </c>
      <c r="C72" s="1" t="n">
        <v>46137</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46137</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16388-2022</t>
        </is>
      </c>
      <c r="B74" s="1" t="n">
        <v>44671</v>
      </c>
      <c r="C74" s="1" t="n">
        <v>46137</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30672-2024</t>
        </is>
      </c>
      <c r="B75" s="1" t="n">
        <v>45495.81412037037</v>
      </c>
      <c r="C75" s="1" t="n">
        <v>46137</v>
      </c>
      <c r="D75" t="inlineStr">
        <is>
          <t>DALARNAS LÄN</t>
        </is>
      </c>
      <c r="E75" t="inlineStr">
        <is>
          <t>GAGNEF</t>
        </is>
      </c>
      <c r="G75" t="n">
        <v>4.3</v>
      </c>
      <c r="H75" t="n">
        <v>0</v>
      </c>
      <c r="I75" t="n">
        <v>0</v>
      </c>
      <c r="J75" t="n">
        <v>0</v>
      </c>
      <c r="K75" t="n">
        <v>0</v>
      </c>
      <c r="L75" t="n">
        <v>0</v>
      </c>
      <c r="M75" t="n">
        <v>0</v>
      </c>
      <c r="N75" t="n">
        <v>0</v>
      </c>
      <c r="O75" t="n">
        <v>0</v>
      </c>
      <c r="P75" t="n">
        <v>0</v>
      </c>
      <c r="Q75" t="n">
        <v>0</v>
      </c>
      <c r="R75" s="2" t="inlineStr"/>
    </row>
    <row r="76" ht="15" customHeight="1">
      <c r="A76" t="inlineStr">
        <is>
          <t>A 22596-2024</t>
        </is>
      </c>
      <c r="B76" s="1" t="n">
        <v>45447.614375</v>
      </c>
      <c r="C76" s="1" t="n">
        <v>46137</v>
      </c>
      <c r="D76" t="inlineStr">
        <is>
          <t>DALARNAS LÄN</t>
        </is>
      </c>
      <c r="E76" t="inlineStr">
        <is>
          <t>GAGNEF</t>
        </is>
      </c>
      <c r="G76" t="n">
        <v>1.7</v>
      </c>
      <c r="H76" t="n">
        <v>0</v>
      </c>
      <c r="I76" t="n">
        <v>0</v>
      </c>
      <c r="J76" t="n">
        <v>0</v>
      </c>
      <c r="K76" t="n">
        <v>0</v>
      </c>
      <c r="L76" t="n">
        <v>0</v>
      </c>
      <c r="M76" t="n">
        <v>0</v>
      </c>
      <c r="N76" t="n">
        <v>0</v>
      </c>
      <c r="O76" t="n">
        <v>0</v>
      </c>
      <c r="P76" t="n">
        <v>0</v>
      </c>
      <c r="Q76" t="n">
        <v>0</v>
      </c>
      <c r="R76" s="2" t="inlineStr"/>
    </row>
    <row r="77" ht="15" customHeight="1">
      <c r="A77" t="inlineStr">
        <is>
          <t>A 54875-2023</t>
        </is>
      </c>
      <c r="B77" s="1" t="n">
        <v>45236.61521990741</v>
      </c>
      <c r="C77" s="1" t="n">
        <v>46137</v>
      </c>
      <c r="D77" t="inlineStr">
        <is>
          <t>DALARNAS LÄN</t>
        </is>
      </c>
      <c r="E77" t="inlineStr">
        <is>
          <t>GAGNEF</t>
        </is>
      </c>
      <c r="G77" t="n">
        <v>6.7</v>
      </c>
      <c r="H77" t="n">
        <v>0</v>
      </c>
      <c r="I77" t="n">
        <v>0</v>
      </c>
      <c r="J77" t="n">
        <v>0</v>
      </c>
      <c r="K77" t="n">
        <v>0</v>
      </c>
      <c r="L77" t="n">
        <v>0</v>
      </c>
      <c r="M77" t="n">
        <v>0</v>
      </c>
      <c r="N77" t="n">
        <v>0</v>
      </c>
      <c r="O77" t="n">
        <v>0</v>
      </c>
      <c r="P77" t="n">
        <v>0</v>
      </c>
      <c r="Q77" t="n">
        <v>0</v>
      </c>
      <c r="R77" s="2" t="inlineStr"/>
    </row>
    <row r="78" ht="15" customHeight="1">
      <c r="A78" t="inlineStr">
        <is>
          <t>A 16118-2023</t>
        </is>
      </c>
      <c r="B78" s="1" t="n">
        <v>45027</v>
      </c>
      <c r="C78" s="1" t="n">
        <v>46137</v>
      </c>
      <c r="D78" t="inlineStr">
        <is>
          <t>DALARNAS LÄN</t>
        </is>
      </c>
      <c r="E78" t="inlineStr">
        <is>
          <t>GAGNEF</t>
        </is>
      </c>
      <c r="G78" t="n">
        <v>2.3</v>
      </c>
      <c r="H78" t="n">
        <v>0</v>
      </c>
      <c r="I78" t="n">
        <v>0</v>
      </c>
      <c r="J78" t="n">
        <v>0</v>
      </c>
      <c r="K78" t="n">
        <v>0</v>
      </c>
      <c r="L78" t="n">
        <v>0</v>
      </c>
      <c r="M78" t="n">
        <v>0</v>
      </c>
      <c r="N78" t="n">
        <v>0</v>
      </c>
      <c r="O78" t="n">
        <v>0</v>
      </c>
      <c r="P78" t="n">
        <v>0</v>
      </c>
      <c r="Q78" t="n">
        <v>0</v>
      </c>
      <c r="R78" s="2" t="inlineStr"/>
    </row>
    <row r="79" ht="15" customHeight="1">
      <c r="A79" t="inlineStr">
        <is>
          <t>A 3816-2025</t>
        </is>
      </c>
      <c r="B79" s="1" t="n">
        <v>45681.69211805556</v>
      </c>
      <c r="C79" s="1" t="n">
        <v>46137</v>
      </c>
      <c r="D79" t="inlineStr">
        <is>
          <t>DALARNAS LÄN</t>
        </is>
      </c>
      <c r="E79" t="inlineStr">
        <is>
          <t>GAGNEF</t>
        </is>
      </c>
      <c r="G79" t="n">
        <v>6.1</v>
      </c>
      <c r="H79" t="n">
        <v>0</v>
      </c>
      <c r="I79" t="n">
        <v>0</v>
      </c>
      <c r="J79" t="n">
        <v>0</v>
      </c>
      <c r="K79" t="n">
        <v>0</v>
      </c>
      <c r="L79" t="n">
        <v>0</v>
      </c>
      <c r="M79" t="n">
        <v>0</v>
      </c>
      <c r="N79" t="n">
        <v>0</v>
      </c>
      <c r="O79" t="n">
        <v>0</v>
      </c>
      <c r="P79" t="n">
        <v>0</v>
      </c>
      <c r="Q79" t="n">
        <v>0</v>
      </c>
      <c r="R79" s="2" t="inlineStr"/>
    </row>
    <row r="80" ht="15" customHeight="1">
      <c r="A80" t="inlineStr">
        <is>
          <t>A 19685-2025</t>
        </is>
      </c>
      <c r="B80" s="1" t="n">
        <v>45770.86954861111</v>
      </c>
      <c r="C80" s="1" t="n">
        <v>46137</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45706-2024</t>
        </is>
      </c>
      <c r="B81" s="1" t="n">
        <v>45579.57643518518</v>
      </c>
      <c r="C81" s="1" t="n">
        <v>46137</v>
      </c>
      <c r="D81" t="inlineStr">
        <is>
          <t>DALARNAS LÄN</t>
        </is>
      </c>
      <c r="E81" t="inlineStr">
        <is>
          <t>GAGNEF</t>
        </is>
      </c>
      <c r="G81" t="n">
        <v>0.2</v>
      </c>
      <c r="H81" t="n">
        <v>0</v>
      </c>
      <c r="I81" t="n">
        <v>0</v>
      </c>
      <c r="J81" t="n">
        <v>0</v>
      </c>
      <c r="K81" t="n">
        <v>0</v>
      </c>
      <c r="L81" t="n">
        <v>0</v>
      </c>
      <c r="M81" t="n">
        <v>0</v>
      </c>
      <c r="N81" t="n">
        <v>0</v>
      </c>
      <c r="O81" t="n">
        <v>0</v>
      </c>
      <c r="P81" t="n">
        <v>0</v>
      </c>
      <c r="Q81" t="n">
        <v>0</v>
      </c>
      <c r="R81" s="2" t="inlineStr"/>
    </row>
    <row r="82" ht="15" customHeight="1">
      <c r="A82" t="inlineStr">
        <is>
          <t>A 34853-2024</t>
        </is>
      </c>
      <c r="B82" s="1" t="n">
        <v>45527.32375</v>
      </c>
      <c r="C82" s="1" t="n">
        <v>46137</v>
      </c>
      <c r="D82" t="inlineStr">
        <is>
          <t>DALARNAS LÄN</t>
        </is>
      </c>
      <c r="E82" t="inlineStr">
        <is>
          <t>GAGNEF</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48645-2021</t>
        </is>
      </c>
      <c r="B83" s="1" t="n">
        <v>44452.52619212963</v>
      </c>
      <c r="C83" s="1" t="n">
        <v>46137</v>
      </c>
      <c r="D83" t="inlineStr">
        <is>
          <t>DALARNAS LÄN</t>
        </is>
      </c>
      <c r="E83" t="inlineStr">
        <is>
          <t>GAGNEF</t>
        </is>
      </c>
      <c r="G83" t="n">
        <v>1.3</v>
      </c>
      <c r="H83" t="n">
        <v>0</v>
      </c>
      <c r="I83" t="n">
        <v>0</v>
      </c>
      <c r="J83" t="n">
        <v>0</v>
      </c>
      <c r="K83" t="n">
        <v>0</v>
      </c>
      <c r="L83" t="n">
        <v>0</v>
      </c>
      <c r="M83" t="n">
        <v>0</v>
      </c>
      <c r="N83" t="n">
        <v>0</v>
      </c>
      <c r="O83" t="n">
        <v>0</v>
      </c>
      <c r="P83" t="n">
        <v>0</v>
      </c>
      <c r="Q83" t="n">
        <v>0</v>
      </c>
      <c r="R83" s="2" t="inlineStr"/>
    </row>
    <row r="84" ht="15" customHeight="1">
      <c r="A84" t="inlineStr">
        <is>
          <t>A 20513-2023</t>
        </is>
      </c>
      <c r="B84" s="1" t="n">
        <v>45057.46729166667</v>
      </c>
      <c r="C84" s="1" t="n">
        <v>46137</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19197-2023</t>
        </is>
      </c>
      <c r="B85" s="1" t="n">
        <v>45048</v>
      </c>
      <c r="C85" s="1" t="n">
        <v>46137</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3818-2025</t>
        </is>
      </c>
      <c r="B86" s="1" t="n">
        <v>45681.70396990741</v>
      </c>
      <c r="C86" s="1" t="n">
        <v>46137</v>
      </c>
      <c r="D86" t="inlineStr">
        <is>
          <t>DALARNAS LÄN</t>
        </is>
      </c>
      <c r="E86" t="inlineStr">
        <is>
          <t>GAGNEF</t>
        </is>
      </c>
      <c r="G86" t="n">
        <v>0.6</v>
      </c>
      <c r="H86" t="n">
        <v>0</v>
      </c>
      <c r="I86" t="n">
        <v>0</v>
      </c>
      <c r="J86" t="n">
        <v>0</v>
      </c>
      <c r="K86" t="n">
        <v>0</v>
      </c>
      <c r="L86" t="n">
        <v>0</v>
      </c>
      <c r="M86" t="n">
        <v>0</v>
      </c>
      <c r="N86" t="n">
        <v>0</v>
      </c>
      <c r="O86" t="n">
        <v>0</v>
      </c>
      <c r="P86" t="n">
        <v>0</v>
      </c>
      <c r="Q86" t="n">
        <v>0</v>
      </c>
      <c r="R86" s="2" t="inlineStr"/>
    </row>
    <row r="87" ht="15" customHeight="1">
      <c r="A87" t="inlineStr">
        <is>
          <t>A 3819-2025</t>
        </is>
      </c>
      <c r="B87" s="1" t="n">
        <v>45681.7072337963</v>
      </c>
      <c r="C87" s="1" t="n">
        <v>46137</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3822-2025</t>
        </is>
      </c>
      <c r="B88" s="1" t="n">
        <v>45681.7166087963</v>
      </c>
      <c r="C88" s="1" t="n">
        <v>46137</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39112-2025</t>
        </is>
      </c>
      <c r="B89" s="1" t="n">
        <v>45887</v>
      </c>
      <c r="C89" s="1" t="n">
        <v>46137</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38422-2024</t>
        </is>
      </c>
      <c r="B90" s="1" t="n">
        <v>45546.36997685185</v>
      </c>
      <c r="C90" s="1" t="n">
        <v>46137</v>
      </c>
      <c r="D90" t="inlineStr">
        <is>
          <t>DALARNAS LÄN</t>
        </is>
      </c>
      <c r="E90" t="inlineStr">
        <is>
          <t>GAGNEF</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35892-2024</t>
        </is>
      </c>
      <c r="B91" s="1" t="n">
        <v>45533.37692129629</v>
      </c>
      <c r="C91" s="1" t="n">
        <v>46137</v>
      </c>
      <c r="D91" t="inlineStr">
        <is>
          <t>DALARNAS LÄN</t>
        </is>
      </c>
      <c r="E91" t="inlineStr">
        <is>
          <t>GAGNEF</t>
        </is>
      </c>
      <c r="G91" t="n">
        <v>1.2</v>
      </c>
      <c r="H91" t="n">
        <v>0</v>
      </c>
      <c r="I91" t="n">
        <v>0</v>
      </c>
      <c r="J91" t="n">
        <v>0</v>
      </c>
      <c r="K91" t="n">
        <v>0</v>
      </c>
      <c r="L91" t="n">
        <v>0</v>
      </c>
      <c r="M91" t="n">
        <v>0</v>
      </c>
      <c r="N91" t="n">
        <v>0</v>
      </c>
      <c r="O91" t="n">
        <v>0</v>
      </c>
      <c r="P91" t="n">
        <v>0</v>
      </c>
      <c r="Q91" t="n">
        <v>0</v>
      </c>
      <c r="R91" s="2" t="inlineStr"/>
    </row>
    <row r="92" ht="15" customHeight="1">
      <c r="A92" t="inlineStr">
        <is>
          <t>A 15684-2024</t>
        </is>
      </c>
      <c r="B92" s="1" t="n">
        <v>45404.43857638889</v>
      </c>
      <c r="C92" s="1" t="n">
        <v>46137</v>
      </c>
      <c r="D92" t="inlineStr">
        <is>
          <t>DALARNAS LÄN</t>
        </is>
      </c>
      <c r="E92" t="inlineStr">
        <is>
          <t>GAGNEF</t>
        </is>
      </c>
      <c r="G92" t="n">
        <v>1.8</v>
      </c>
      <c r="H92" t="n">
        <v>0</v>
      </c>
      <c r="I92" t="n">
        <v>0</v>
      </c>
      <c r="J92" t="n">
        <v>0</v>
      </c>
      <c r="K92" t="n">
        <v>0</v>
      </c>
      <c r="L92" t="n">
        <v>0</v>
      </c>
      <c r="M92" t="n">
        <v>0</v>
      </c>
      <c r="N92" t="n">
        <v>0</v>
      </c>
      <c r="O92" t="n">
        <v>0</v>
      </c>
      <c r="P92" t="n">
        <v>0</v>
      </c>
      <c r="Q92" t="n">
        <v>0</v>
      </c>
      <c r="R92" s="2" t="inlineStr"/>
    </row>
    <row r="93" ht="15" customHeight="1">
      <c r="A93" t="inlineStr">
        <is>
          <t>A 30668-2024</t>
        </is>
      </c>
      <c r="B93" s="1" t="n">
        <v>45495.71056712963</v>
      </c>
      <c r="C93" s="1" t="n">
        <v>46137</v>
      </c>
      <c r="D93" t="inlineStr">
        <is>
          <t>DALARNAS LÄN</t>
        </is>
      </c>
      <c r="E93" t="inlineStr">
        <is>
          <t>GAGNEF</t>
        </is>
      </c>
      <c r="G93" t="n">
        <v>2</v>
      </c>
      <c r="H93" t="n">
        <v>0</v>
      </c>
      <c r="I93" t="n">
        <v>0</v>
      </c>
      <c r="J93" t="n">
        <v>0</v>
      </c>
      <c r="K93" t="n">
        <v>0</v>
      </c>
      <c r="L93" t="n">
        <v>0</v>
      </c>
      <c r="M93" t="n">
        <v>0</v>
      </c>
      <c r="N93" t="n">
        <v>0</v>
      </c>
      <c r="O93" t="n">
        <v>0</v>
      </c>
      <c r="P93" t="n">
        <v>0</v>
      </c>
      <c r="Q93" t="n">
        <v>0</v>
      </c>
      <c r="R93" s="2" t="inlineStr"/>
    </row>
    <row r="94" ht="15" customHeight="1">
      <c r="A94" t="inlineStr">
        <is>
          <t>A 19337-2025</t>
        </is>
      </c>
      <c r="B94" s="1" t="n">
        <v>45769.59185185185</v>
      </c>
      <c r="C94" s="1" t="n">
        <v>46137</v>
      </c>
      <c r="D94" t="inlineStr">
        <is>
          <t>DALARNAS LÄN</t>
        </is>
      </c>
      <c r="E94" t="inlineStr">
        <is>
          <t>GAGNEF</t>
        </is>
      </c>
      <c r="G94" t="n">
        <v>13.8</v>
      </c>
      <c r="H94" t="n">
        <v>0</v>
      </c>
      <c r="I94" t="n">
        <v>0</v>
      </c>
      <c r="J94" t="n">
        <v>0</v>
      </c>
      <c r="K94" t="n">
        <v>0</v>
      </c>
      <c r="L94" t="n">
        <v>0</v>
      </c>
      <c r="M94" t="n">
        <v>0</v>
      </c>
      <c r="N94" t="n">
        <v>0</v>
      </c>
      <c r="O94" t="n">
        <v>0</v>
      </c>
      <c r="P94" t="n">
        <v>0</v>
      </c>
      <c r="Q94" t="n">
        <v>0</v>
      </c>
      <c r="R94" s="2" t="inlineStr"/>
    </row>
    <row r="95" ht="15" customHeight="1">
      <c r="A95" t="inlineStr">
        <is>
          <t>A 28307-2022</t>
        </is>
      </c>
      <c r="B95" s="1" t="n">
        <v>44747</v>
      </c>
      <c r="C95" s="1" t="n">
        <v>46137</v>
      </c>
      <c r="D95" t="inlineStr">
        <is>
          <t>DALARNAS LÄN</t>
        </is>
      </c>
      <c r="E95" t="inlineStr">
        <is>
          <t>GAGNEF</t>
        </is>
      </c>
      <c r="G95" t="n">
        <v>2.7</v>
      </c>
      <c r="H95" t="n">
        <v>0</v>
      </c>
      <c r="I95" t="n">
        <v>0</v>
      </c>
      <c r="J95" t="n">
        <v>0</v>
      </c>
      <c r="K95" t="n">
        <v>0</v>
      </c>
      <c r="L95" t="n">
        <v>0</v>
      </c>
      <c r="M95" t="n">
        <v>0</v>
      </c>
      <c r="N95" t="n">
        <v>0</v>
      </c>
      <c r="O95" t="n">
        <v>0</v>
      </c>
      <c r="P95" t="n">
        <v>0</v>
      </c>
      <c r="Q95" t="n">
        <v>0</v>
      </c>
      <c r="R95" s="2" t="inlineStr"/>
    </row>
    <row r="96" ht="15" customHeight="1">
      <c r="A96" t="inlineStr">
        <is>
          <t>A 15686-2024</t>
        </is>
      </c>
      <c r="B96" s="1" t="n">
        <v>45404.4404050926</v>
      </c>
      <c r="C96" s="1" t="n">
        <v>46137</v>
      </c>
      <c r="D96" t="inlineStr">
        <is>
          <t>DALARNAS LÄN</t>
        </is>
      </c>
      <c r="E96" t="inlineStr">
        <is>
          <t>GAGNEF</t>
        </is>
      </c>
      <c r="G96" t="n">
        <v>2.4</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46137</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43915-2024</t>
        </is>
      </c>
      <c r="B98" s="1" t="n">
        <v>45572.43608796296</v>
      </c>
      <c r="C98" s="1" t="n">
        <v>46137</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9616-2024</t>
        </is>
      </c>
      <c r="B99" s="1" t="n">
        <v>45361</v>
      </c>
      <c r="C99" s="1" t="n">
        <v>46137</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43911-2024</t>
        </is>
      </c>
      <c r="B100" s="1" t="n">
        <v>45572.43356481481</v>
      </c>
      <c r="C100" s="1" t="n">
        <v>46137</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43913-2024</t>
        </is>
      </c>
      <c r="B101" s="1" t="n">
        <v>45572</v>
      </c>
      <c r="C101" s="1" t="n">
        <v>46137</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46137</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41366-2023</t>
        </is>
      </c>
      <c r="B103" s="1" t="n">
        <v>45174.84822916667</v>
      </c>
      <c r="C103" s="1" t="n">
        <v>46137</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42596-2021</t>
        </is>
      </c>
      <c r="B104" s="1" t="n">
        <v>44428.37861111111</v>
      </c>
      <c r="C104" s="1" t="n">
        <v>46137</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19344-2025</t>
        </is>
      </c>
      <c r="B105" s="1" t="n">
        <v>45769.59975694444</v>
      </c>
      <c r="C105" s="1" t="n">
        <v>46137</v>
      </c>
      <c r="D105" t="inlineStr">
        <is>
          <t>DALARNAS LÄN</t>
        </is>
      </c>
      <c r="E105" t="inlineStr">
        <is>
          <t>GAGNEF</t>
        </is>
      </c>
      <c r="G105" t="n">
        <v>3.4</v>
      </c>
      <c r="H105" t="n">
        <v>0</v>
      </c>
      <c r="I105" t="n">
        <v>0</v>
      </c>
      <c r="J105" t="n">
        <v>0</v>
      </c>
      <c r="K105" t="n">
        <v>0</v>
      </c>
      <c r="L105" t="n">
        <v>0</v>
      </c>
      <c r="M105" t="n">
        <v>0</v>
      </c>
      <c r="N105" t="n">
        <v>0</v>
      </c>
      <c r="O105" t="n">
        <v>0</v>
      </c>
      <c r="P105" t="n">
        <v>0</v>
      </c>
      <c r="Q105" t="n">
        <v>0</v>
      </c>
      <c r="R105" s="2" t="inlineStr"/>
    </row>
    <row r="106" ht="15" customHeight="1">
      <c r="A106" t="inlineStr">
        <is>
          <t>A 26622-2023</t>
        </is>
      </c>
      <c r="B106" s="1" t="n">
        <v>45092.70679398148</v>
      </c>
      <c r="C106" s="1" t="n">
        <v>46137</v>
      </c>
      <c r="D106" t="inlineStr">
        <is>
          <t>DALARNAS LÄN</t>
        </is>
      </c>
      <c r="E106" t="inlineStr">
        <is>
          <t>GAGNEF</t>
        </is>
      </c>
      <c r="F106" t="inlineStr">
        <is>
          <t>Bergvik skog väst AB</t>
        </is>
      </c>
      <c r="G106" t="n">
        <v>10.5</v>
      </c>
      <c r="H106" t="n">
        <v>0</v>
      </c>
      <c r="I106" t="n">
        <v>0</v>
      </c>
      <c r="J106" t="n">
        <v>0</v>
      </c>
      <c r="K106" t="n">
        <v>0</v>
      </c>
      <c r="L106" t="n">
        <v>0</v>
      </c>
      <c r="M106" t="n">
        <v>0</v>
      </c>
      <c r="N106" t="n">
        <v>0</v>
      </c>
      <c r="O106" t="n">
        <v>0</v>
      </c>
      <c r="P106" t="n">
        <v>0</v>
      </c>
      <c r="Q106" t="n">
        <v>0</v>
      </c>
      <c r="R106" s="2" t="inlineStr"/>
    </row>
    <row r="107" ht="15" customHeight="1">
      <c r="A107" t="inlineStr">
        <is>
          <t>A 2017-2025</t>
        </is>
      </c>
      <c r="B107" s="1" t="n">
        <v>45672</v>
      </c>
      <c r="C107" s="1" t="n">
        <v>46137</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4374-2024</t>
        </is>
      </c>
      <c r="B108" s="1" t="n">
        <v>45326.73876157407</v>
      </c>
      <c r="C108" s="1" t="n">
        <v>46137</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61872-2024</t>
        </is>
      </c>
      <c r="B109" s="1" t="n">
        <v>45651.86974537037</v>
      </c>
      <c r="C109" s="1" t="n">
        <v>46137</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41065-2025</t>
        </is>
      </c>
      <c r="B110" s="1" t="n">
        <v>45898.41145833334</v>
      </c>
      <c r="C110" s="1" t="n">
        <v>46137</v>
      </c>
      <c r="D110" t="inlineStr">
        <is>
          <t>DALARNAS LÄN</t>
        </is>
      </c>
      <c r="E110" t="inlineStr">
        <is>
          <t>GAGNEF</t>
        </is>
      </c>
      <c r="G110" t="n">
        <v>7.1</v>
      </c>
      <c r="H110" t="n">
        <v>0</v>
      </c>
      <c r="I110" t="n">
        <v>0</v>
      </c>
      <c r="J110" t="n">
        <v>0</v>
      </c>
      <c r="K110" t="n">
        <v>0</v>
      </c>
      <c r="L110" t="n">
        <v>0</v>
      </c>
      <c r="M110" t="n">
        <v>0</v>
      </c>
      <c r="N110" t="n">
        <v>0</v>
      </c>
      <c r="O110" t="n">
        <v>0</v>
      </c>
      <c r="P110" t="n">
        <v>0</v>
      </c>
      <c r="Q110" t="n">
        <v>0</v>
      </c>
      <c r="R110" s="2" t="inlineStr"/>
    </row>
    <row r="111" ht="15" customHeight="1">
      <c r="A111" t="inlineStr">
        <is>
          <t>A 322-2024</t>
        </is>
      </c>
      <c r="B111" s="1" t="n">
        <v>45295</v>
      </c>
      <c r="C111" s="1" t="n">
        <v>46137</v>
      </c>
      <c r="D111" t="inlineStr">
        <is>
          <t>DALARNAS LÄN</t>
        </is>
      </c>
      <c r="E111" t="inlineStr">
        <is>
          <t>GAGNEF</t>
        </is>
      </c>
      <c r="G111" t="n">
        <v>11.1</v>
      </c>
      <c r="H111" t="n">
        <v>0</v>
      </c>
      <c r="I111" t="n">
        <v>0</v>
      </c>
      <c r="J111" t="n">
        <v>0</v>
      </c>
      <c r="K111" t="n">
        <v>0</v>
      </c>
      <c r="L111" t="n">
        <v>0</v>
      </c>
      <c r="M111" t="n">
        <v>0</v>
      </c>
      <c r="N111" t="n">
        <v>0</v>
      </c>
      <c r="O111" t="n">
        <v>0</v>
      </c>
      <c r="P111" t="n">
        <v>0</v>
      </c>
      <c r="Q111" t="n">
        <v>0</v>
      </c>
      <c r="R111" s="2" t="inlineStr"/>
    </row>
    <row r="112" ht="15" customHeight="1">
      <c r="A112" t="inlineStr">
        <is>
          <t>A 8867-2025</t>
        </is>
      </c>
      <c r="B112" s="1" t="n">
        <v>45713.36719907408</v>
      </c>
      <c r="C112" s="1" t="n">
        <v>46137</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15861-2025</t>
        </is>
      </c>
      <c r="B113" s="1" t="n">
        <v>45749.35199074074</v>
      </c>
      <c r="C113" s="1" t="n">
        <v>46137</v>
      </c>
      <c r="D113" t="inlineStr">
        <is>
          <t>DALARNAS LÄN</t>
        </is>
      </c>
      <c r="E113" t="inlineStr">
        <is>
          <t>GAGNEF</t>
        </is>
      </c>
      <c r="G113" t="n">
        <v>1.2</v>
      </c>
      <c r="H113" t="n">
        <v>0</v>
      </c>
      <c r="I113" t="n">
        <v>0</v>
      </c>
      <c r="J113" t="n">
        <v>0</v>
      </c>
      <c r="K113" t="n">
        <v>0</v>
      </c>
      <c r="L113" t="n">
        <v>0</v>
      </c>
      <c r="M113" t="n">
        <v>0</v>
      </c>
      <c r="N113" t="n">
        <v>0</v>
      </c>
      <c r="O113" t="n">
        <v>0</v>
      </c>
      <c r="P113" t="n">
        <v>0</v>
      </c>
      <c r="Q113" t="n">
        <v>0</v>
      </c>
      <c r="R113" s="2" t="inlineStr"/>
    </row>
    <row r="114" ht="15" customHeight="1">
      <c r="A114" t="inlineStr">
        <is>
          <t>A 11680-2022</t>
        </is>
      </c>
      <c r="B114" s="1" t="n">
        <v>44634</v>
      </c>
      <c r="C114" s="1" t="n">
        <v>46137</v>
      </c>
      <c r="D114" t="inlineStr">
        <is>
          <t>DALARNAS LÄN</t>
        </is>
      </c>
      <c r="E114" t="inlineStr">
        <is>
          <t>GAGNEF</t>
        </is>
      </c>
      <c r="G114" t="n">
        <v>7.8</v>
      </c>
      <c r="H114" t="n">
        <v>0</v>
      </c>
      <c r="I114" t="n">
        <v>0</v>
      </c>
      <c r="J114" t="n">
        <v>0</v>
      </c>
      <c r="K114" t="n">
        <v>0</v>
      </c>
      <c r="L114" t="n">
        <v>0</v>
      </c>
      <c r="M114" t="n">
        <v>0</v>
      </c>
      <c r="N114" t="n">
        <v>0</v>
      </c>
      <c r="O114" t="n">
        <v>0</v>
      </c>
      <c r="P114" t="n">
        <v>0</v>
      </c>
      <c r="Q114" t="n">
        <v>0</v>
      </c>
      <c r="R114" s="2" t="inlineStr"/>
    </row>
    <row r="115" ht="15" customHeight="1">
      <c r="A115" t="inlineStr">
        <is>
          <t>A 30957-2023</t>
        </is>
      </c>
      <c r="B115" s="1" t="n">
        <v>45113</v>
      </c>
      <c r="C115" s="1" t="n">
        <v>46137</v>
      </c>
      <c r="D115" t="inlineStr">
        <is>
          <t>DALARNAS LÄN</t>
        </is>
      </c>
      <c r="E115" t="inlineStr">
        <is>
          <t>GAGNEF</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46137</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46137</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46137</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46137</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56083-2023</t>
        </is>
      </c>
      <c r="B120" s="1" t="n">
        <v>45240</v>
      </c>
      <c r="C120" s="1" t="n">
        <v>46137</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64987-2023</t>
        </is>
      </c>
      <c r="B121" s="1" t="n">
        <v>45285</v>
      </c>
      <c r="C121" s="1" t="n">
        <v>46137</v>
      </c>
      <c r="D121" t="inlineStr">
        <is>
          <t>DALARNAS LÄN</t>
        </is>
      </c>
      <c r="E121" t="inlineStr">
        <is>
          <t>GAGNEF</t>
        </is>
      </c>
      <c r="G121" t="n">
        <v>6.2</v>
      </c>
      <c r="H121" t="n">
        <v>0</v>
      </c>
      <c r="I121" t="n">
        <v>0</v>
      </c>
      <c r="J121" t="n">
        <v>0</v>
      </c>
      <c r="K121" t="n">
        <v>0</v>
      </c>
      <c r="L121" t="n">
        <v>0</v>
      </c>
      <c r="M121" t="n">
        <v>0</v>
      </c>
      <c r="N121" t="n">
        <v>0</v>
      </c>
      <c r="O121" t="n">
        <v>0</v>
      </c>
      <c r="P121" t="n">
        <v>0</v>
      </c>
      <c r="Q121" t="n">
        <v>0</v>
      </c>
      <c r="R121" s="2" t="inlineStr"/>
    </row>
    <row r="122" ht="15" customHeight="1">
      <c r="A122" t="inlineStr">
        <is>
          <t>A 15685-2024</t>
        </is>
      </c>
      <c r="B122" s="1" t="n">
        <v>45404.44038194444</v>
      </c>
      <c r="C122" s="1" t="n">
        <v>46137</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3642-2025</t>
        </is>
      </c>
      <c r="B123" s="1" t="n">
        <v>45681.39009259259</v>
      </c>
      <c r="C123" s="1" t="n">
        <v>46137</v>
      </c>
      <c r="D123" t="inlineStr">
        <is>
          <t>DALARNAS LÄN</t>
        </is>
      </c>
      <c r="E123" t="inlineStr">
        <is>
          <t>GAGNEF</t>
        </is>
      </c>
      <c r="G123" t="n">
        <v>4.7</v>
      </c>
      <c r="H123" t="n">
        <v>0</v>
      </c>
      <c r="I123" t="n">
        <v>0</v>
      </c>
      <c r="J123" t="n">
        <v>0</v>
      </c>
      <c r="K123" t="n">
        <v>0</v>
      </c>
      <c r="L123" t="n">
        <v>0</v>
      </c>
      <c r="M123" t="n">
        <v>0</v>
      </c>
      <c r="N123" t="n">
        <v>0</v>
      </c>
      <c r="O123" t="n">
        <v>0</v>
      </c>
      <c r="P123" t="n">
        <v>0</v>
      </c>
      <c r="Q123" t="n">
        <v>0</v>
      </c>
      <c r="R123" s="2" t="inlineStr"/>
    </row>
    <row r="124" ht="15" customHeight="1">
      <c r="A124" t="inlineStr">
        <is>
          <t>A 15629-2022</t>
        </is>
      </c>
      <c r="B124" s="1" t="n">
        <v>44662.77332175926</v>
      </c>
      <c r="C124" s="1" t="n">
        <v>46137</v>
      </c>
      <c r="D124" t="inlineStr">
        <is>
          <t>DALARNAS LÄN</t>
        </is>
      </c>
      <c r="E124" t="inlineStr">
        <is>
          <t>GAGNEF</t>
        </is>
      </c>
      <c r="G124" t="n">
        <v>2.8</v>
      </c>
      <c r="H124" t="n">
        <v>0</v>
      </c>
      <c r="I124" t="n">
        <v>0</v>
      </c>
      <c r="J124" t="n">
        <v>0</v>
      </c>
      <c r="K124" t="n">
        <v>0</v>
      </c>
      <c r="L124" t="n">
        <v>0</v>
      </c>
      <c r="M124" t="n">
        <v>0</v>
      </c>
      <c r="N124" t="n">
        <v>0</v>
      </c>
      <c r="O124" t="n">
        <v>0</v>
      </c>
      <c r="P124" t="n">
        <v>0</v>
      </c>
      <c r="Q124" t="n">
        <v>0</v>
      </c>
      <c r="R124" s="2" t="inlineStr"/>
    </row>
    <row r="125" ht="15" customHeight="1">
      <c r="A125" t="inlineStr">
        <is>
          <t>A 20771-2025</t>
        </is>
      </c>
      <c r="B125" s="1" t="n">
        <v>45776.58692129629</v>
      </c>
      <c r="C125" s="1" t="n">
        <v>46137</v>
      </c>
      <c r="D125" t="inlineStr">
        <is>
          <t>DALARNAS LÄN</t>
        </is>
      </c>
      <c r="E125" t="inlineStr">
        <is>
          <t>GAGNEF</t>
        </is>
      </c>
      <c r="G125" t="n">
        <v>10.5</v>
      </c>
      <c r="H125" t="n">
        <v>0</v>
      </c>
      <c r="I125" t="n">
        <v>0</v>
      </c>
      <c r="J125" t="n">
        <v>0</v>
      </c>
      <c r="K125" t="n">
        <v>0</v>
      </c>
      <c r="L125" t="n">
        <v>0</v>
      </c>
      <c r="M125" t="n">
        <v>0</v>
      </c>
      <c r="N125" t="n">
        <v>0</v>
      </c>
      <c r="O125" t="n">
        <v>0</v>
      </c>
      <c r="P125" t="n">
        <v>0</v>
      </c>
      <c r="Q125" t="n">
        <v>0</v>
      </c>
      <c r="R125" s="2" t="inlineStr"/>
    </row>
    <row r="126" ht="15" customHeight="1">
      <c r="A126" t="inlineStr">
        <is>
          <t>A 42298-2025</t>
        </is>
      </c>
      <c r="B126" s="1" t="n">
        <v>45904.6405787037</v>
      </c>
      <c r="C126" s="1" t="n">
        <v>46137</v>
      </c>
      <c r="D126" t="inlineStr">
        <is>
          <t>DALARNAS LÄN</t>
        </is>
      </c>
      <c r="E126" t="inlineStr">
        <is>
          <t>GAGNEF</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42303-2025</t>
        </is>
      </c>
      <c r="B127" s="1" t="n">
        <v>45904.64417824074</v>
      </c>
      <c r="C127" s="1" t="n">
        <v>46137</v>
      </c>
      <c r="D127" t="inlineStr">
        <is>
          <t>DALARNAS LÄN</t>
        </is>
      </c>
      <c r="E127" t="inlineStr">
        <is>
          <t>GAGNEF</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42166-2025</t>
        </is>
      </c>
      <c r="B128" s="1" t="n">
        <v>45904.42144675926</v>
      </c>
      <c r="C128" s="1" t="n">
        <v>46137</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51496-2023</t>
        </is>
      </c>
      <c r="B129" s="1" t="n">
        <v>45222</v>
      </c>
      <c r="C129" s="1" t="n">
        <v>46137</v>
      </c>
      <c r="D129" t="inlineStr">
        <is>
          <t>DALARNAS LÄN</t>
        </is>
      </c>
      <c r="E129" t="inlineStr">
        <is>
          <t>GAGNEF</t>
        </is>
      </c>
      <c r="G129" t="n">
        <v>1.4</v>
      </c>
      <c r="H129" t="n">
        <v>0</v>
      </c>
      <c r="I129" t="n">
        <v>0</v>
      </c>
      <c r="J129" t="n">
        <v>0</v>
      </c>
      <c r="K129" t="n">
        <v>0</v>
      </c>
      <c r="L129" t="n">
        <v>0</v>
      </c>
      <c r="M129" t="n">
        <v>0</v>
      </c>
      <c r="N129" t="n">
        <v>0</v>
      </c>
      <c r="O129" t="n">
        <v>0</v>
      </c>
      <c r="P129" t="n">
        <v>0</v>
      </c>
      <c r="Q129" t="n">
        <v>0</v>
      </c>
      <c r="R129" s="2" t="inlineStr"/>
    </row>
    <row r="130" ht="15" customHeight="1">
      <c r="A130" t="inlineStr">
        <is>
          <t>A 7340-2024</t>
        </is>
      </c>
      <c r="B130" s="1" t="n">
        <v>45345.44857638889</v>
      </c>
      <c r="C130" s="1" t="n">
        <v>46137</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16858-2025</t>
        </is>
      </c>
      <c r="B131" s="1" t="n">
        <v>45751</v>
      </c>
      <c r="C131" s="1" t="n">
        <v>46137</v>
      </c>
      <c r="D131" t="inlineStr">
        <is>
          <t>DALARNAS LÄN</t>
        </is>
      </c>
      <c r="E131" t="inlineStr">
        <is>
          <t>GAGNEF</t>
        </is>
      </c>
      <c r="G131" t="n">
        <v>0.5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46137</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24862-2024</t>
        </is>
      </c>
      <c r="B133" s="1" t="n">
        <v>45461.48384259259</v>
      </c>
      <c r="C133" s="1" t="n">
        <v>46137</v>
      </c>
      <c r="D133" t="inlineStr">
        <is>
          <t>DALARNAS LÄN</t>
        </is>
      </c>
      <c r="E133" t="inlineStr">
        <is>
          <t>GAGNEF</t>
        </is>
      </c>
      <c r="G133" t="n">
        <v>2.3</v>
      </c>
      <c r="H133" t="n">
        <v>0</v>
      </c>
      <c r="I133" t="n">
        <v>0</v>
      </c>
      <c r="J133" t="n">
        <v>0</v>
      </c>
      <c r="K133" t="n">
        <v>0</v>
      </c>
      <c r="L133" t="n">
        <v>0</v>
      </c>
      <c r="M133" t="n">
        <v>0</v>
      </c>
      <c r="N133" t="n">
        <v>0</v>
      </c>
      <c r="O133" t="n">
        <v>0</v>
      </c>
      <c r="P133" t="n">
        <v>0</v>
      </c>
      <c r="Q133" t="n">
        <v>0</v>
      </c>
      <c r="R133" s="2" t="inlineStr"/>
    </row>
    <row r="134" ht="15" customHeight="1">
      <c r="A134" t="inlineStr">
        <is>
          <t>A 8006-2025</t>
        </is>
      </c>
      <c r="B134" s="1" t="n">
        <v>45706</v>
      </c>
      <c r="C134" s="1" t="n">
        <v>46137</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46137</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27814-2024</t>
        </is>
      </c>
      <c r="B136" s="1" t="n">
        <v>45475.5928587963</v>
      </c>
      <c r="C136" s="1" t="n">
        <v>46137</v>
      </c>
      <c r="D136" t="inlineStr">
        <is>
          <t>DALARNAS LÄN</t>
        </is>
      </c>
      <c r="E136" t="inlineStr">
        <is>
          <t>GAGNEF</t>
        </is>
      </c>
      <c r="G136" t="n">
        <v>3.8</v>
      </c>
      <c r="H136" t="n">
        <v>0</v>
      </c>
      <c r="I136" t="n">
        <v>0</v>
      </c>
      <c r="J136" t="n">
        <v>0</v>
      </c>
      <c r="K136" t="n">
        <v>0</v>
      </c>
      <c r="L136" t="n">
        <v>0</v>
      </c>
      <c r="M136" t="n">
        <v>0</v>
      </c>
      <c r="N136" t="n">
        <v>0</v>
      </c>
      <c r="O136" t="n">
        <v>0</v>
      </c>
      <c r="P136" t="n">
        <v>0</v>
      </c>
      <c r="Q136" t="n">
        <v>0</v>
      </c>
      <c r="R136" s="2" t="inlineStr"/>
    </row>
    <row r="137" ht="15" customHeight="1">
      <c r="A137" t="inlineStr">
        <is>
          <t>A 42825-2025</t>
        </is>
      </c>
      <c r="B137" s="1" t="n">
        <v>45908</v>
      </c>
      <c r="C137" s="1" t="n">
        <v>46137</v>
      </c>
      <c r="D137" t="inlineStr">
        <is>
          <t>DALARNAS LÄN</t>
        </is>
      </c>
      <c r="E137" t="inlineStr">
        <is>
          <t>GAGNEF</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42850-2025</t>
        </is>
      </c>
      <c r="B138" s="1" t="n">
        <v>45908</v>
      </c>
      <c r="C138" s="1" t="n">
        <v>46137</v>
      </c>
      <c r="D138" t="inlineStr">
        <is>
          <t>DALARNAS LÄN</t>
        </is>
      </c>
      <c r="E138" t="inlineStr">
        <is>
          <t>GAGNEF</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8491-2025</t>
        </is>
      </c>
      <c r="B139" s="1" t="n">
        <v>45709.50834490741</v>
      </c>
      <c r="C139" s="1" t="n">
        <v>46137</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42683-2025</t>
        </is>
      </c>
      <c r="B140" s="1" t="n">
        <v>45908.35057870371</v>
      </c>
      <c r="C140" s="1" t="n">
        <v>46137</v>
      </c>
      <c r="D140" t="inlineStr">
        <is>
          <t>DALARNAS LÄN</t>
        </is>
      </c>
      <c r="E140" t="inlineStr">
        <is>
          <t>GAGNEF</t>
        </is>
      </c>
      <c r="G140" t="n">
        <v>2.6</v>
      </c>
      <c r="H140" t="n">
        <v>0</v>
      </c>
      <c r="I140" t="n">
        <v>0</v>
      </c>
      <c r="J140" t="n">
        <v>0</v>
      </c>
      <c r="K140" t="n">
        <v>0</v>
      </c>
      <c r="L140" t="n">
        <v>0</v>
      </c>
      <c r="M140" t="n">
        <v>0</v>
      </c>
      <c r="N140" t="n">
        <v>0</v>
      </c>
      <c r="O140" t="n">
        <v>0</v>
      </c>
      <c r="P140" t="n">
        <v>0</v>
      </c>
      <c r="Q140" t="n">
        <v>0</v>
      </c>
      <c r="R140" s="2" t="inlineStr"/>
    </row>
    <row r="141" ht="15" customHeight="1">
      <c r="A141" t="inlineStr">
        <is>
          <t>A 20482-2024</t>
        </is>
      </c>
      <c r="B141" s="1" t="n">
        <v>45435.72424768518</v>
      </c>
      <c r="C141" s="1" t="n">
        <v>46137</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11349-2023</t>
        </is>
      </c>
      <c r="B142" s="1" t="n">
        <v>44993</v>
      </c>
      <c r="C142" s="1" t="n">
        <v>46137</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30635-2024</t>
        </is>
      </c>
      <c r="B143" s="1" t="n">
        <v>45495.54474537037</v>
      </c>
      <c r="C143" s="1" t="n">
        <v>46137</v>
      </c>
      <c r="D143" t="inlineStr">
        <is>
          <t>DALARNAS LÄN</t>
        </is>
      </c>
      <c r="E143" t="inlineStr">
        <is>
          <t>GAGNEF</t>
        </is>
      </c>
      <c r="G143" t="n">
        <v>1.9</v>
      </c>
      <c r="H143" t="n">
        <v>0</v>
      </c>
      <c r="I143" t="n">
        <v>0</v>
      </c>
      <c r="J143" t="n">
        <v>0</v>
      </c>
      <c r="K143" t="n">
        <v>0</v>
      </c>
      <c r="L143" t="n">
        <v>0</v>
      </c>
      <c r="M143" t="n">
        <v>0</v>
      </c>
      <c r="N143" t="n">
        <v>0</v>
      </c>
      <c r="O143" t="n">
        <v>0</v>
      </c>
      <c r="P143" t="n">
        <v>0</v>
      </c>
      <c r="Q143" t="n">
        <v>0</v>
      </c>
      <c r="R143" s="2" t="inlineStr"/>
    </row>
    <row r="144" ht="15" customHeight="1">
      <c r="A144" t="inlineStr">
        <is>
          <t>A 27668-2023</t>
        </is>
      </c>
      <c r="B144" s="1" t="n">
        <v>45097</v>
      </c>
      <c r="C144" s="1" t="n">
        <v>46137</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46137</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46137</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42607-2024</t>
        </is>
      </c>
      <c r="B147" s="1" t="n">
        <v>45565.76509259259</v>
      </c>
      <c r="C147" s="1" t="n">
        <v>46137</v>
      </c>
      <c r="D147" t="inlineStr">
        <is>
          <t>DALARNAS LÄN</t>
        </is>
      </c>
      <c r="E147" t="inlineStr">
        <is>
          <t>GAGNEF</t>
        </is>
      </c>
      <c r="G147" t="n">
        <v>2.6</v>
      </c>
      <c r="H147" t="n">
        <v>0</v>
      </c>
      <c r="I147" t="n">
        <v>0</v>
      </c>
      <c r="J147" t="n">
        <v>0</v>
      </c>
      <c r="K147" t="n">
        <v>0</v>
      </c>
      <c r="L147" t="n">
        <v>0</v>
      </c>
      <c r="M147" t="n">
        <v>0</v>
      </c>
      <c r="N147" t="n">
        <v>0</v>
      </c>
      <c r="O147" t="n">
        <v>0</v>
      </c>
      <c r="P147" t="n">
        <v>0</v>
      </c>
      <c r="Q147" t="n">
        <v>0</v>
      </c>
      <c r="R147" s="2" t="inlineStr"/>
    </row>
    <row r="148" ht="15" customHeight="1">
      <c r="A148" t="inlineStr">
        <is>
          <t>A 51151-2023</t>
        </is>
      </c>
      <c r="B148" s="1" t="n">
        <v>45219</v>
      </c>
      <c r="C148" s="1" t="n">
        <v>46137</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43633-2025</t>
        </is>
      </c>
      <c r="B149" s="1" t="n">
        <v>45911.70615740741</v>
      </c>
      <c r="C149" s="1" t="n">
        <v>46137</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22856-2025</t>
        </is>
      </c>
      <c r="B150" s="1" t="n">
        <v>45789</v>
      </c>
      <c r="C150" s="1" t="n">
        <v>46137</v>
      </c>
      <c r="D150" t="inlineStr">
        <is>
          <t>DALARNAS LÄN</t>
        </is>
      </c>
      <c r="E150" t="inlineStr">
        <is>
          <t>GAGNEF</t>
        </is>
      </c>
      <c r="G150" t="n">
        <v>2.9</v>
      </c>
      <c r="H150" t="n">
        <v>0</v>
      </c>
      <c r="I150" t="n">
        <v>0</v>
      </c>
      <c r="J150" t="n">
        <v>0</v>
      </c>
      <c r="K150" t="n">
        <v>0</v>
      </c>
      <c r="L150" t="n">
        <v>0</v>
      </c>
      <c r="M150" t="n">
        <v>0</v>
      </c>
      <c r="N150" t="n">
        <v>0</v>
      </c>
      <c r="O150" t="n">
        <v>0</v>
      </c>
      <c r="P150" t="n">
        <v>0</v>
      </c>
      <c r="Q150" t="n">
        <v>0</v>
      </c>
      <c r="R150" s="2" t="inlineStr"/>
    </row>
    <row r="151" ht="15" customHeight="1">
      <c r="A151" t="inlineStr">
        <is>
          <t>A 43457-2025</t>
        </is>
      </c>
      <c r="B151" s="1" t="n">
        <v>45911</v>
      </c>
      <c r="C151" s="1" t="n">
        <v>46137</v>
      </c>
      <c r="D151" t="inlineStr">
        <is>
          <t>DALARNAS LÄN</t>
        </is>
      </c>
      <c r="E151" t="inlineStr">
        <is>
          <t>GAGNEF</t>
        </is>
      </c>
      <c r="F151" t="inlineStr">
        <is>
          <t>Bergvik skog väst AB</t>
        </is>
      </c>
      <c r="G151" t="n">
        <v>6.5</v>
      </c>
      <c r="H151" t="n">
        <v>0</v>
      </c>
      <c r="I151" t="n">
        <v>0</v>
      </c>
      <c r="J151" t="n">
        <v>0</v>
      </c>
      <c r="K151" t="n">
        <v>0</v>
      </c>
      <c r="L151" t="n">
        <v>0</v>
      </c>
      <c r="M151" t="n">
        <v>0</v>
      </c>
      <c r="N151" t="n">
        <v>0</v>
      </c>
      <c r="O151" t="n">
        <v>0</v>
      </c>
      <c r="P151" t="n">
        <v>0</v>
      </c>
      <c r="Q151" t="n">
        <v>0</v>
      </c>
      <c r="R151" s="2" t="inlineStr"/>
    </row>
    <row r="152" ht="15" customHeight="1">
      <c r="A152" t="inlineStr">
        <is>
          <t>A 17321-2024</t>
        </is>
      </c>
      <c r="B152" s="1" t="n">
        <v>45414.53782407408</v>
      </c>
      <c r="C152" s="1" t="n">
        <v>46137</v>
      </c>
      <c r="D152" t="inlineStr">
        <is>
          <t>DALARNAS LÄN</t>
        </is>
      </c>
      <c r="E152" t="inlineStr">
        <is>
          <t>GAGNEF</t>
        </is>
      </c>
      <c r="G152" t="n">
        <v>3.5</v>
      </c>
      <c r="H152" t="n">
        <v>0</v>
      </c>
      <c r="I152" t="n">
        <v>0</v>
      </c>
      <c r="J152" t="n">
        <v>0</v>
      </c>
      <c r="K152" t="n">
        <v>0</v>
      </c>
      <c r="L152" t="n">
        <v>0</v>
      </c>
      <c r="M152" t="n">
        <v>0</v>
      </c>
      <c r="N152" t="n">
        <v>0</v>
      </c>
      <c r="O152" t="n">
        <v>0</v>
      </c>
      <c r="P152" t="n">
        <v>0</v>
      </c>
      <c r="Q152" t="n">
        <v>0</v>
      </c>
      <c r="R152" s="2" t="inlineStr"/>
    </row>
    <row r="153" ht="15" customHeight="1">
      <c r="A153" t="inlineStr">
        <is>
          <t>A 43706-2025</t>
        </is>
      </c>
      <c r="B153" s="1" t="n">
        <v>45912.40556712963</v>
      </c>
      <c r="C153" s="1" t="n">
        <v>46137</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43713-2025</t>
        </is>
      </c>
      <c r="B154" s="1" t="n">
        <v>45912.40796296296</v>
      </c>
      <c r="C154" s="1" t="n">
        <v>46137</v>
      </c>
      <c r="D154" t="inlineStr">
        <is>
          <t>DALARNAS LÄN</t>
        </is>
      </c>
      <c r="E154" t="inlineStr">
        <is>
          <t>GAGNEF</t>
        </is>
      </c>
      <c r="G154" t="n">
        <v>1.2</v>
      </c>
      <c r="H154" t="n">
        <v>0</v>
      </c>
      <c r="I154" t="n">
        <v>0</v>
      </c>
      <c r="J154" t="n">
        <v>0</v>
      </c>
      <c r="K154" t="n">
        <v>0</v>
      </c>
      <c r="L154" t="n">
        <v>0</v>
      </c>
      <c r="M154" t="n">
        <v>0</v>
      </c>
      <c r="N154" t="n">
        <v>0</v>
      </c>
      <c r="O154" t="n">
        <v>0</v>
      </c>
      <c r="P154" t="n">
        <v>0</v>
      </c>
      <c r="Q154" t="n">
        <v>0</v>
      </c>
      <c r="R154" s="2" t="inlineStr"/>
    </row>
    <row r="155" ht="15" customHeight="1">
      <c r="A155" t="inlineStr">
        <is>
          <t>A 22273-2025</t>
        </is>
      </c>
      <c r="B155" s="1" t="n">
        <v>45785.94997685185</v>
      </c>
      <c r="C155" s="1" t="n">
        <v>46137</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44587-2025</t>
        </is>
      </c>
      <c r="B156" s="1" t="n">
        <v>45917</v>
      </c>
      <c r="C156" s="1" t="n">
        <v>46137</v>
      </c>
      <c r="D156" t="inlineStr">
        <is>
          <t>DALARNAS LÄN</t>
        </is>
      </c>
      <c r="E156" t="inlineStr">
        <is>
          <t>GAGNEF</t>
        </is>
      </c>
      <c r="F156" t="inlineStr">
        <is>
          <t>Bergvik skog väst AB</t>
        </is>
      </c>
      <c r="G156" t="n">
        <v>10.3</v>
      </c>
      <c r="H156" t="n">
        <v>0</v>
      </c>
      <c r="I156" t="n">
        <v>0</v>
      </c>
      <c r="J156" t="n">
        <v>0</v>
      </c>
      <c r="K156" t="n">
        <v>0</v>
      </c>
      <c r="L156" t="n">
        <v>0</v>
      </c>
      <c r="M156" t="n">
        <v>0</v>
      </c>
      <c r="N156" t="n">
        <v>0</v>
      </c>
      <c r="O156" t="n">
        <v>0</v>
      </c>
      <c r="P156" t="n">
        <v>0</v>
      </c>
      <c r="Q156" t="n">
        <v>0</v>
      </c>
      <c r="R156" s="2" t="inlineStr"/>
    </row>
    <row r="157" ht="15" customHeight="1">
      <c r="A157" t="inlineStr">
        <is>
          <t>A 23488-2024</t>
        </is>
      </c>
      <c r="B157" s="1" t="n">
        <v>45453.67690972222</v>
      </c>
      <c r="C157" s="1" t="n">
        <v>46137</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5835-2025</t>
        </is>
      </c>
      <c r="B158" s="1" t="n">
        <v>45694.86667824074</v>
      </c>
      <c r="C158" s="1" t="n">
        <v>46137</v>
      </c>
      <c r="D158" t="inlineStr">
        <is>
          <t>DALARNAS LÄN</t>
        </is>
      </c>
      <c r="E158" t="inlineStr">
        <is>
          <t>GAGNEF</t>
        </is>
      </c>
      <c r="G158" t="n">
        <v>3.4</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46137</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46137</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46137</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50536-2024</t>
        </is>
      </c>
      <c r="B162" s="1" t="n">
        <v>45601.56956018518</v>
      </c>
      <c r="C162" s="1" t="n">
        <v>46137</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44836-2025</t>
        </is>
      </c>
      <c r="B163" s="1" t="n">
        <v>45918.41756944444</v>
      </c>
      <c r="C163" s="1" t="n">
        <v>46137</v>
      </c>
      <c r="D163" t="inlineStr">
        <is>
          <t>DALARNAS LÄN</t>
        </is>
      </c>
      <c r="E163" t="inlineStr">
        <is>
          <t>GAGNEF</t>
        </is>
      </c>
      <c r="G163" t="n">
        <v>2.4</v>
      </c>
      <c r="H163" t="n">
        <v>0</v>
      </c>
      <c r="I163" t="n">
        <v>0</v>
      </c>
      <c r="J163" t="n">
        <v>0</v>
      </c>
      <c r="K163" t="n">
        <v>0</v>
      </c>
      <c r="L163" t="n">
        <v>0</v>
      </c>
      <c r="M163" t="n">
        <v>0</v>
      </c>
      <c r="N163" t="n">
        <v>0</v>
      </c>
      <c r="O163" t="n">
        <v>0</v>
      </c>
      <c r="P163" t="n">
        <v>0</v>
      </c>
      <c r="Q163" t="n">
        <v>0</v>
      </c>
      <c r="R163" s="2" t="inlineStr"/>
    </row>
    <row r="164" ht="15" customHeight="1">
      <c r="A164" t="inlineStr">
        <is>
          <t>A 23227-2025</t>
        </is>
      </c>
      <c r="B164" s="1" t="n">
        <v>45791.48747685185</v>
      </c>
      <c r="C164" s="1" t="n">
        <v>46137</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12741-2025</t>
        </is>
      </c>
      <c r="B165" s="1" t="n">
        <v>45733.54667824074</v>
      </c>
      <c r="C165" s="1" t="n">
        <v>46137</v>
      </c>
      <c r="D165" t="inlineStr">
        <is>
          <t>DALARNAS LÄN</t>
        </is>
      </c>
      <c r="E165" t="inlineStr">
        <is>
          <t>GAGNEF</t>
        </is>
      </c>
      <c r="G165" t="n">
        <v>4.6</v>
      </c>
      <c r="H165" t="n">
        <v>0</v>
      </c>
      <c r="I165" t="n">
        <v>0</v>
      </c>
      <c r="J165" t="n">
        <v>0</v>
      </c>
      <c r="K165" t="n">
        <v>0</v>
      </c>
      <c r="L165" t="n">
        <v>0</v>
      </c>
      <c r="M165" t="n">
        <v>0</v>
      </c>
      <c r="N165" t="n">
        <v>0</v>
      </c>
      <c r="O165" t="n">
        <v>0</v>
      </c>
      <c r="P165" t="n">
        <v>0</v>
      </c>
      <c r="Q165" t="n">
        <v>0</v>
      </c>
      <c r="R165" s="2" t="inlineStr"/>
    </row>
    <row r="166" ht="15" customHeight="1">
      <c r="A166" t="inlineStr">
        <is>
          <t>A 45497-2025</t>
        </is>
      </c>
      <c r="B166" s="1" t="n">
        <v>45922.56707175926</v>
      </c>
      <c r="C166" s="1" t="n">
        <v>46137</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19346-2025</t>
        </is>
      </c>
      <c r="B167" s="1" t="n">
        <v>45769.60106481481</v>
      </c>
      <c r="C167" s="1" t="n">
        <v>46137</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46137</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43916-2024</t>
        </is>
      </c>
      <c r="B169" s="1" t="n">
        <v>45572.43674768518</v>
      </c>
      <c r="C169" s="1" t="n">
        <v>46137</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23797-2025</t>
        </is>
      </c>
      <c r="B170" s="1" t="n">
        <v>45793.55232638889</v>
      </c>
      <c r="C170" s="1" t="n">
        <v>46137</v>
      </c>
      <c r="D170" t="inlineStr">
        <is>
          <t>DALARNAS LÄN</t>
        </is>
      </c>
      <c r="E170" t="inlineStr">
        <is>
          <t>GAGNEF</t>
        </is>
      </c>
      <c r="F170" t="inlineStr">
        <is>
          <t>Övriga statliga verk och myndigheter</t>
        </is>
      </c>
      <c r="G170" t="n">
        <v>2.8</v>
      </c>
      <c r="H170" t="n">
        <v>0</v>
      </c>
      <c r="I170" t="n">
        <v>0</v>
      </c>
      <c r="J170" t="n">
        <v>0</v>
      </c>
      <c r="K170" t="n">
        <v>0</v>
      </c>
      <c r="L170" t="n">
        <v>0</v>
      </c>
      <c r="M170" t="n">
        <v>0</v>
      </c>
      <c r="N170" t="n">
        <v>0</v>
      </c>
      <c r="O170" t="n">
        <v>0</v>
      </c>
      <c r="P170" t="n">
        <v>0</v>
      </c>
      <c r="Q170" t="n">
        <v>0</v>
      </c>
      <c r="R170" s="2" t="inlineStr"/>
    </row>
    <row r="171" ht="15" customHeight="1">
      <c r="A171" t="inlineStr">
        <is>
          <t>A 45989-2025</t>
        </is>
      </c>
      <c r="B171" s="1" t="n">
        <v>45924.38699074074</v>
      </c>
      <c r="C171" s="1" t="n">
        <v>46137</v>
      </c>
      <c r="D171" t="inlineStr">
        <is>
          <t>DALARNAS LÄN</t>
        </is>
      </c>
      <c r="E171" t="inlineStr">
        <is>
          <t>GAGNEF</t>
        </is>
      </c>
      <c r="G171" t="n">
        <v>2.9</v>
      </c>
      <c r="H171" t="n">
        <v>0</v>
      </c>
      <c r="I171" t="n">
        <v>0</v>
      </c>
      <c r="J171" t="n">
        <v>0</v>
      </c>
      <c r="K171" t="n">
        <v>0</v>
      </c>
      <c r="L171" t="n">
        <v>0</v>
      </c>
      <c r="M171" t="n">
        <v>0</v>
      </c>
      <c r="N171" t="n">
        <v>0</v>
      </c>
      <c r="O171" t="n">
        <v>0</v>
      </c>
      <c r="P171" t="n">
        <v>0</v>
      </c>
      <c r="Q171" t="n">
        <v>0</v>
      </c>
      <c r="R171" s="2" t="inlineStr"/>
    </row>
    <row r="172" ht="15" customHeight="1">
      <c r="A172" t="inlineStr">
        <is>
          <t>A 7598-2024</t>
        </is>
      </c>
      <c r="B172" s="1" t="n">
        <v>45348.55574074074</v>
      </c>
      <c r="C172" s="1" t="n">
        <v>46137</v>
      </c>
      <c r="D172" t="inlineStr">
        <is>
          <t>DALARNAS LÄN</t>
        </is>
      </c>
      <c r="E172" t="inlineStr">
        <is>
          <t>GAGNEF</t>
        </is>
      </c>
      <c r="G172" t="n">
        <v>2.2</v>
      </c>
      <c r="H172" t="n">
        <v>0</v>
      </c>
      <c r="I172" t="n">
        <v>0</v>
      </c>
      <c r="J172" t="n">
        <v>0</v>
      </c>
      <c r="K172" t="n">
        <v>0</v>
      </c>
      <c r="L172" t="n">
        <v>0</v>
      </c>
      <c r="M172" t="n">
        <v>0</v>
      </c>
      <c r="N172" t="n">
        <v>0</v>
      </c>
      <c r="O172" t="n">
        <v>0</v>
      </c>
      <c r="P172" t="n">
        <v>0</v>
      </c>
      <c r="Q172" t="n">
        <v>0</v>
      </c>
      <c r="R172" s="2" t="inlineStr"/>
    </row>
    <row r="173" ht="15" customHeight="1">
      <c r="A173" t="inlineStr">
        <is>
          <t>A 47956-2024</t>
        </is>
      </c>
      <c r="B173" s="1" t="n">
        <v>45589.37105324074</v>
      </c>
      <c r="C173" s="1" t="n">
        <v>46137</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61499-2024</t>
        </is>
      </c>
      <c r="B174" s="1" t="n">
        <v>45646.55732638889</v>
      </c>
      <c r="C174" s="1" t="n">
        <v>46137</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30667-2024</t>
        </is>
      </c>
      <c r="B175" s="1" t="n">
        <v>45495.70825231481</v>
      </c>
      <c r="C175" s="1" t="n">
        <v>46137</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42715-2024</t>
        </is>
      </c>
      <c r="B176" s="1" t="n">
        <v>45566.45429398148</v>
      </c>
      <c r="C176" s="1" t="n">
        <v>46137</v>
      </c>
      <c r="D176" t="inlineStr">
        <is>
          <t>DALARNAS LÄN</t>
        </is>
      </c>
      <c r="E176" t="inlineStr">
        <is>
          <t>GAGNEF</t>
        </is>
      </c>
      <c r="G176" t="n">
        <v>1</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46137</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47554-2025</t>
        </is>
      </c>
      <c r="B178" s="1" t="n">
        <v>45931.37412037037</v>
      </c>
      <c r="C178" s="1" t="n">
        <v>46137</v>
      </c>
      <c r="D178" t="inlineStr">
        <is>
          <t>DALARNAS LÄN</t>
        </is>
      </c>
      <c r="E178" t="inlineStr">
        <is>
          <t>GAGNEF</t>
        </is>
      </c>
      <c r="G178" t="n">
        <v>1.5</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46137</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47685-2025</t>
        </is>
      </c>
      <c r="B180" s="1" t="n">
        <v>45931.58986111111</v>
      </c>
      <c r="C180" s="1" t="n">
        <v>46137</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47295-2025</t>
        </is>
      </c>
      <c r="B181" s="1" t="n">
        <v>45930.49263888889</v>
      </c>
      <c r="C181" s="1" t="n">
        <v>46137</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47669-2025</t>
        </is>
      </c>
      <c r="B182" s="1" t="n">
        <v>45931.57208333333</v>
      </c>
      <c r="C182" s="1" t="n">
        <v>46137</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47470-2025</t>
        </is>
      </c>
      <c r="B183" s="1" t="n">
        <v>45930.67282407408</v>
      </c>
      <c r="C183" s="1" t="n">
        <v>46137</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47285-2025</t>
        </is>
      </c>
      <c r="B184" s="1" t="n">
        <v>45930.48280092593</v>
      </c>
      <c r="C184" s="1" t="n">
        <v>46137</v>
      </c>
      <c r="D184" t="inlineStr">
        <is>
          <t>DALARNAS LÄN</t>
        </is>
      </c>
      <c r="E184" t="inlineStr">
        <is>
          <t>GAGNEF</t>
        </is>
      </c>
      <c r="G184" t="n">
        <v>7.8</v>
      </c>
      <c r="H184" t="n">
        <v>0</v>
      </c>
      <c r="I184" t="n">
        <v>0</v>
      </c>
      <c r="J184" t="n">
        <v>0</v>
      </c>
      <c r="K184" t="n">
        <v>0</v>
      </c>
      <c r="L184" t="n">
        <v>0</v>
      </c>
      <c r="M184" t="n">
        <v>0</v>
      </c>
      <c r="N184" t="n">
        <v>0</v>
      </c>
      <c r="O184" t="n">
        <v>0</v>
      </c>
      <c r="P184" t="n">
        <v>0</v>
      </c>
      <c r="Q184" t="n">
        <v>0</v>
      </c>
      <c r="R184" s="2" t="inlineStr"/>
    </row>
    <row r="185" ht="15" customHeight="1">
      <c r="A185" t="inlineStr">
        <is>
          <t>A 51251-2023</t>
        </is>
      </c>
      <c r="B185" s="1" t="n">
        <v>45219.48548611111</v>
      </c>
      <c r="C185" s="1" t="n">
        <v>46137</v>
      </c>
      <c r="D185" t="inlineStr">
        <is>
          <t>DALARNAS LÄN</t>
        </is>
      </c>
      <c r="E185" t="inlineStr">
        <is>
          <t>GAGNEF</t>
        </is>
      </c>
      <c r="G185" t="n">
        <v>2.2</v>
      </c>
      <c r="H185" t="n">
        <v>0</v>
      </c>
      <c r="I185" t="n">
        <v>0</v>
      </c>
      <c r="J185" t="n">
        <v>0</v>
      </c>
      <c r="K185" t="n">
        <v>0</v>
      </c>
      <c r="L185" t="n">
        <v>0</v>
      </c>
      <c r="M185" t="n">
        <v>0</v>
      </c>
      <c r="N185" t="n">
        <v>0</v>
      </c>
      <c r="O185" t="n">
        <v>0</v>
      </c>
      <c r="P185" t="n">
        <v>0</v>
      </c>
      <c r="Q185" t="n">
        <v>0</v>
      </c>
      <c r="R185" s="2" t="inlineStr"/>
    </row>
    <row r="186" ht="15" customHeight="1">
      <c r="A186" t="inlineStr">
        <is>
          <t>A 51287-2023</t>
        </is>
      </c>
      <c r="B186" s="1" t="n">
        <v>45219</v>
      </c>
      <c r="C186" s="1" t="n">
        <v>46137</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45110-2025</t>
        </is>
      </c>
      <c r="B187" s="1" t="n">
        <v>45919</v>
      </c>
      <c r="C187" s="1" t="n">
        <v>46137</v>
      </c>
      <c r="D187" t="inlineStr">
        <is>
          <t>DALARNAS LÄN</t>
        </is>
      </c>
      <c r="E187" t="inlineStr">
        <is>
          <t>GAGNEF</t>
        </is>
      </c>
      <c r="F187" t="inlineStr">
        <is>
          <t>Bergvik skog väst AB</t>
        </is>
      </c>
      <c r="G187" t="n">
        <v>1.8</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46137</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46137</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48957-2025</t>
        </is>
      </c>
      <c r="B190" s="1" t="n">
        <v>45937.55002314815</v>
      </c>
      <c r="C190" s="1" t="n">
        <v>46137</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47054-2025</t>
        </is>
      </c>
      <c r="B191" s="1" t="n">
        <v>45929</v>
      </c>
      <c r="C191" s="1" t="n">
        <v>46137</v>
      </c>
      <c r="D191" t="inlineStr">
        <is>
          <t>DALARNAS LÄN</t>
        </is>
      </c>
      <c r="E191" t="inlineStr">
        <is>
          <t>GAGNEF</t>
        </is>
      </c>
      <c r="F191" t="inlineStr">
        <is>
          <t>Bergvik skog väst AB</t>
        </is>
      </c>
      <c r="G191" t="n">
        <v>17.1</v>
      </c>
      <c r="H191" t="n">
        <v>0</v>
      </c>
      <c r="I191" t="n">
        <v>0</v>
      </c>
      <c r="J191" t="n">
        <v>0</v>
      </c>
      <c r="K191" t="n">
        <v>0</v>
      </c>
      <c r="L191" t="n">
        <v>0</v>
      </c>
      <c r="M191" t="n">
        <v>0</v>
      </c>
      <c r="N191" t="n">
        <v>0</v>
      </c>
      <c r="O191" t="n">
        <v>0</v>
      </c>
      <c r="P191" t="n">
        <v>0</v>
      </c>
      <c r="Q191" t="n">
        <v>0</v>
      </c>
      <c r="R191" s="2" t="inlineStr"/>
    </row>
    <row r="192" ht="15" customHeight="1">
      <c r="A192" t="inlineStr">
        <is>
          <t>A 45961-2025</t>
        </is>
      </c>
      <c r="B192" s="1" t="n">
        <v>45924</v>
      </c>
      <c r="C192" s="1" t="n">
        <v>46137</v>
      </c>
      <c r="D192" t="inlineStr">
        <is>
          <t>DALARNAS LÄN</t>
        </is>
      </c>
      <c r="E192" t="inlineStr">
        <is>
          <t>GAGNEF</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46137</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26369-2025</t>
        </is>
      </c>
      <c r="B194" s="1" t="n">
        <v>45806.39133101852</v>
      </c>
      <c r="C194" s="1" t="n">
        <v>46137</v>
      </c>
      <c r="D194" t="inlineStr">
        <is>
          <t>DALARNAS LÄN</t>
        </is>
      </c>
      <c r="E194" t="inlineStr">
        <is>
          <t>GAGNEF</t>
        </is>
      </c>
      <c r="G194" t="n">
        <v>12.9</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46137</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46137</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27387-2025</t>
        </is>
      </c>
      <c r="B197" s="1" t="n">
        <v>45812</v>
      </c>
      <c r="C197" s="1" t="n">
        <v>46137</v>
      </c>
      <c r="D197" t="inlineStr">
        <is>
          <t>DALARNAS LÄN</t>
        </is>
      </c>
      <c r="E197" t="inlineStr">
        <is>
          <t>GAGNEF</t>
        </is>
      </c>
      <c r="G197" t="n">
        <v>4.4</v>
      </c>
      <c r="H197" t="n">
        <v>0</v>
      </c>
      <c r="I197" t="n">
        <v>0</v>
      </c>
      <c r="J197" t="n">
        <v>0</v>
      </c>
      <c r="K197" t="n">
        <v>0</v>
      </c>
      <c r="L197" t="n">
        <v>0</v>
      </c>
      <c r="M197" t="n">
        <v>0</v>
      </c>
      <c r="N197" t="n">
        <v>0</v>
      </c>
      <c r="O197" t="n">
        <v>0</v>
      </c>
      <c r="P197" t="n">
        <v>0</v>
      </c>
      <c r="Q197" t="n">
        <v>0</v>
      </c>
      <c r="R197" s="2" t="inlineStr"/>
    </row>
    <row r="198" ht="15" customHeight="1">
      <c r="A198" t="inlineStr">
        <is>
          <t>A 1479-2025</t>
        </is>
      </c>
      <c r="B198" s="1" t="n">
        <v>45670</v>
      </c>
      <c r="C198" s="1" t="n">
        <v>46137</v>
      </c>
      <c r="D198" t="inlineStr">
        <is>
          <t>DALARNAS LÄN</t>
        </is>
      </c>
      <c r="E198" t="inlineStr">
        <is>
          <t>GAGNEF</t>
        </is>
      </c>
      <c r="G198" t="n">
        <v>5.5</v>
      </c>
      <c r="H198" t="n">
        <v>0</v>
      </c>
      <c r="I198" t="n">
        <v>0</v>
      </c>
      <c r="J198" t="n">
        <v>0</v>
      </c>
      <c r="K198" t="n">
        <v>0</v>
      </c>
      <c r="L198" t="n">
        <v>0</v>
      </c>
      <c r="M198" t="n">
        <v>0</v>
      </c>
      <c r="N198" t="n">
        <v>0</v>
      </c>
      <c r="O198" t="n">
        <v>0</v>
      </c>
      <c r="P198" t="n">
        <v>0</v>
      </c>
      <c r="Q198" t="n">
        <v>0</v>
      </c>
      <c r="R198" s="2" t="inlineStr"/>
    </row>
    <row r="199" ht="15" customHeight="1">
      <c r="A199" t="inlineStr">
        <is>
          <t>A 1481-2025</t>
        </is>
      </c>
      <c r="B199" s="1" t="n">
        <v>45670</v>
      </c>
      <c r="C199" s="1" t="n">
        <v>46137</v>
      </c>
      <c r="D199" t="inlineStr">
        <is>
          <t>DALARNAS LÄN</t>
        </is>
      </c>
      <c r="E199" t="inlineStr">
        <is>
          <t>GAGNEF</t>
        </is>
      </c>
      <c r="G199" t="n">
        <v>0.6</v>
      </c>
      <c r="H199" t="n">
        <v>0</v>
      </c>
      <c r="I199" t="n">
        <v>0</v>
      </c>
      <c r="J199" t="n">
        <v>0</v>
      </c>
      <c r="K199" t="n">
        <v>0</v>
      </c>
      <c r="L199" t="n">
        <v>0</v>
      </c>
      <c r="M199" t="n">
        <v>0</v>
      </c>
      <c r="N199" t="n">
        <v>0</v>
      </c>
      <c r="O199" t="n">
        <v>0</v>
      </c>
      <c r="P199" t="n">
        <v>0</v>
      </c>
      <c r="Q199" t="n">
        <v>0</v>
      </c>
      <c r="R199" s="2" t="inlineStr"/>
    </row>
    <row r="200" ht="15" customHeight="1">
      <c r="A200" t="inlineStr">
        <is>
          <t>A 6795-2024</t>
        </is>
      </c>
      <c r="B200" s="1" t="n">
        <v>45342.56087962963</v>
      </c>
      <c r="C200" s="1" t="n">
        <v>46137</v>
      </c>
      <c r="D200" t="inlineStr">
        <is>
          <t>DALARNAS LÄN</t>
        </is>
      </c>
      <c r="E200" t="inlineStr">
        <is>
          <t>GAGNEF</t>
        </is>
      </c>
      <c r="G200" t="n">
        <v>3.6</v>
      </c>
      <c r="H200" t="n">
        <v>0</v>
      </c>
      <c r="I200" t="n">
        <v>0</v>
      </c>
      <c r="J200" t="n">
        <v>0</v>
      </c>
      <c r="K200" t="n">
        <v>0</v>
      </c>
      <c r="L200" t="n">
        <v>0</v>
      </c>
      <c r="M200" t="n">
        <v>0</v>
      </c>
      <c r="N200" t="n">
        <v>0</v>
      </c>
      <c r="O200" t="n">
        <v>0</v>
      </c>
      <c r="P200" t="n">
        <v>0</v>
      </c>
      <c r="Q200" t="n">
        <v>0</v>
      </c>
      <c r="R200" s="2" t="inlineStr"/>
    </row>
    <row r="201" ht="15" customHeight="1">
      <c r="A201" t="inlineStr">
        <is>
          <t>A 13169-2025</t>
        </is>
      </c>
      <c r="B201" s="1" t="n">
        <v>45735.36532407408</v>
      </c>
      <c r="C201" s="1" t="n">
        <v>46137</v>
      </c>
      <c r="D201" t="inlineStr">
        <is>
          <t>DALARNAS LÄN</t>
        </is>
      </c>
      <c r="E201" t="inlineStr">
        <is>
          <t>GAGNEF</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27889-2025</t>
        </is>
      </c>
      <c r="B202" s="1" t="n">
        <v>45817</v>
      </c>
      <c r="C202" s="1" t="n">
        <v>46137</v>
      </c>
      <c r="D202" t="inlineStr">
        <is>
          <t>DALARNAS LÄN</t>
        </is>
      </c>
      <c r="E202" t="inlineStr">
        <is>
          <t>GAGNEF</t>
        </is>
      </c>
      <c r="G202" t="n">
        <v>3.2</v>
      </c>
      <c r="H202" t="n">
        <v>0</v>
      </c>
      <c r="I202" t="n">
        <v>0</v>
      </c>
      <c r="J202" t="n">
        <v>0</v>
      </c>
      <c r="K202" t="n">
        <v>0</v>
      </c>
      <c r="L202" t="n">
        <v>0</v>
      </c>
      <c r="M202" t="n">
        <v>0</v>
      </c>
      <c r="N202" t="n">
        <v>0</v>
      </c>
      <c r="O202" t="n">
        <v>0</v>
      </c>
      <c r="P202" t="n">
        <v>0</v>
      </c>
      <c r="Q202" t="n">
        <v>0</v>
      </c>
      <c r="R202" s="2" t="inlineStr"/>
    </row>
    <row r="203" ht="15" customHeight="1">
      <c r="A203" t="inlineStr">
        <is>
          <t>A 50754-2025</t>
        </is>
      </c>
      <c r="B203" s="1" t="n">
        <v>45946.40530092592</v>
      </c>
      <c r="C203" s="1" t="n">
        <v>46137</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46137</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44149-2023</t>
        </is>
      </c>
      <c r="B205" s="1" t="n">
        <v>45188.47653935185</v>
      </c>
      <c r="C205" s="1" t="n">
        <v>46137</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29848-2025</t>
        </is>
      </c>
      <c r="B206" s="1" t="n">
        <v>45826</v>
      </c>
      <c r="C206" s="1" t="n">
        <v>46137</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52738-2025</t>
        </is>
      </c>
      <c r="B207" s="1" t="n">
        <v>45957.37429398148</v>
      </c>
      <c r="C207" s="1" t="n">
        <v>46137</v>
      </c>
      <c r="D207" t="inlineStr">
        <is>
          <t>DALARNAS LÄN</t>
        </is>
      </c>
      <c r="E207" t="inlineStr">
        <is>
          <t>GAGNEF</t>
        </is>
      </c>
      <c r="G207" t="n">
        <v>2</v>
      </c>
      <c r="H207" t="n">
        <v>0</v>
      </c>
      <c r="I207" t="n">
        <v>0</v>
      </c>
      <c r="J207" t="n">
        <v>0</v>
      </c>
      <c r="K207" t="n">
        <v>0</v>
      </c>
      <c r="L207" t="n">
        <v>0</v>
      </c>
      <c r="M207" t="n">
        <v>0</v>
      </c>
      <c r="N207" t="n">
        <v>0</v>
      </c>
      <c r="O207" t="n">
        <v>0</v>
      </c>
      <c r="P207" t="n">
        <v>0</v>
      </c>
      <c r="Q207" t="n">
        <v>0</v>
      </c>
      <c r="R207" s="2" t="inlineStr"/>
    </row>
    <row r="208" ht="15" customHeight="1">
      <c r="A208" t="inlineStr">
        <is>
          <t>A 52432-2024</t>
        </is>
      </c>
      <c r="B208" s="1" t="n">
        <v>45608</v>
      </c>
      <c r="C208" s="1" t="n">
        <v>46137</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52425-2025</t>
        </is>
      </c>
      <c r="B209" s="1" t="n">
        <v>45954.3783912037</v>
      </c>
      <c r="C209" s="1" t="n">
        <v>46137</v>
      </c>
      <c r="D209" t="inlineStr">
        <is>
          <t>DALARNAS LÄN</t>
        </is>
      </c>
      <c r="E209" t="inlineStr">
        <is>
          <t>GAGNEF</t>
        </is>
      </c>
      <c r="G209" t="n">
        <v>7.5</v>
      </c>
      <c r="H209" t="n">
        <v>0</v>
      </c>
      <c r="I209" t="n">
        <v>0</v>
      </c>
      <c r="J209" t="n">
        <v>0</v>
      </c>
      <c r="K209" t="n">
        <v>0</v>
      </c>
      <c r="L209" t="n">
        <v>0</v>
      </c>
      <c r="M209" t="n">
        <v>0</v>
      </c>
      <c r="N209" t="n">
        <v>0</v>
      </c>
      <c r="O209" t="n">
        <v>0</v>
      </c>
      <c r="P209" t="n">
        <v>0</v>
      </c>
      <c r="Q209" t="n">
        <v>0</v>
      </c>
      <c r="R209" s="2" t="inlineStr"/>
    </row>
    <row r="210" ht="15" customHeight="1">
      <c r="A210" t="inlineStr">
        <is>
          <t>A 44546-2024</t>
        </is>
      </c>
      <c r="B210" s="1" t="n">
        <v>45574</v>
      </c>
      <c r="C210" s="1" t="n">
        <v>46137</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30098-2025</t>
        </is>
      </c>
      <c r="B211" s="1" t="n">
        <v>45826.67533564815</v>
      </c>
      <c r="C211" s="1" t="n">
        <v>46137</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16192-2022</t>
        </is>
      </c>
      <c r="B212" s="1" t="n">
        <v>44669</v>
      </c>
      <c r="C212" s="1" t="n">
        <v>46137</v>
      </c>
      <c r="D212" t="inlineStr">
        <is>
          <t>DALARNAS LÄN</t>
        </is>
      </c>
      <c r="E212" t="inlineStr">
        <is>
          <t>GAGNEF</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46137</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46137</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28591-2024</t>
        </is>
      </c>
      <c r="B215" s="1" t="n">
        <v>45478.41777777778</v>
      </c>
      <c r="C215" s="1" t="n">
        <v>46137</v>
      </c>
      <c r="D215" t="inlineStr">
        <is>
          <t>DALARNAS LÄN</t>
        </is>
      </c>
      <c r="E215" t="inlineStr">
        <is>
          <t>GAGNEF</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40409-2022</t>
        </is>
      </c>
      <c r="B216" s="1" t="n">
        <v>44823.45168981481</v>
      </c>
      <c r="C216" s="1" t="n">
        <v>46137</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7817-2023</t>
        </is>
      </c>
      <c r="B217" s="1" t="n">
        <v>44973.4645949074</v>
      </c>
      <c r="C217" s="1" t="n">
        <v>46137</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33102-2025</t>
        </is>
      </c>
      <c r="B218" s="1" t="n">
        <v>45840</v>
      </c>
      <c r="C218" s="1" t="n">
        <v>46137</v>
      </c>
      <c r="D218" t="inlineStr">
        <is>
          <t>DALARNAS LÄN</t>
        </is>
      </c>
      <c r="E218" t="inlineStr">
        <is>
          <t>GAGNEF</t>
        </is>
      </c>
      <c r="G218" t="n">
        <v>2.1</v>
      </c>
      <c r="H218" t="n">
        <v>0</v>
      </c>
      <c r="I218" t="n">
        <v>0</v>
      </c>
      <c r="J218" t="n">
        <v>0</v>
      </c>
      <c r="K218" t="n">
        <v>0</v>
      </c>
      <c r="L218" t="n">
        <v>0</v>
      </c>
      <c r="M218" t="n">
        <v>0</v>
      </c>
      <c r="N218" t="n">
        <v>0</v>
      </c>
      <c r="O218" t="n">
        <v>0</v>
      </c>
      <c r="P218" t="n">
        <v>0</v>
      </c>
      <c r="Q218" t="n">
        <v>0</v>
      </c>
      <c r="R218" s="2" t="inlineStr"/>
    </row>
    <row r="219" ht="15" customHeight="1">
      <c r="A219" t="inlineStr">
        <is>
          <t>A 44054-2024</t>
        </is>
      </c>
      <c r="B219" s="1" t="n">
        <v>45572.59703703703</v>
      </c>
      <c r="C219" s="1" t="n">
        <v>46137</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55838-2025</t>
        </is>
      </c>
      <c r="B220" s="1" t="n">
        <v>45972.89208333333</v>
      </c>
      <c r="C220" s="1" t="n">
        <v>46137</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33050-2025</t>
        </is>
      </c>
      <c r="B221" s="1" t="n">
        <v>45840</v>
      </c>
      <c r="C221" s="1" t="n">
        <v>46137</v>
      </c>
      <c r="D221" t="inlineStr">
        <is>
          <t>DALARNAS LÄN</t>
        </is>
      </c>
      <c r="E221" t="inlineStr">
        <is>
          <t>GAGNEF</t>
        </is>
      </c>
      <c r="G221" t="n">
        <v>2.5</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46137</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55801-2025</t>
        </is>
      </c>
      <c r="B223" s="1" t="n">
        <v>45972.67065972222</v>
      </c>
      <c r="C223" s="1" t="n">
        <v>46137</v>
      </c>
      <c r="D223" t="inlineStr">
        <is>
          <t>DALARNAS LÄN</t>
        </is>
      </c>
      <c r="E223" t="inlineStr">
        <is>
          <t>GAGNEF</t>
        </is>
      </c>
      <c r="G223" t="n">
        <v>2.9</v>
      </c>
      <c r="H223" t="n">
        <v>0</v>
      </c>
      <c r="I223" t="n">
        <v>0</v>
      </c>
      <c r="J223" t="n">
        <v>0</v>
      </c>
      <c r="K223" t="n">
        <v>0</v>
      </c>
      <c r="L223" t="n">
        <v>0</v>
      </c>
      <c r="M223" t="n">
        <v>0</v>
      </c>
      <c r="N223" t="n">
        <v>0</v>
      </c>
      <c r="O223" t="n">
        <v>0</v>
      </c>
      <c r="P223" t="n">
        <v>0</v>
      </c>
      <c r="Q223" t="n">
        <v>0</v>
      </c>
      <c r="R223" s="2" t="inlineStr"/>
    </row>
    <row r="224" ht="15" customHeight="1">
      <c r="A224" t="inlineStr">
        <is>
          <t>A 34084-2025</t>
        </is>
      </c>
      <c r="B224" s="1" t="n">
        <v>45845</v>
      </c>
      <c r="C224" s="1" t="n">
        <v>46137</v>
      </c>
      <c r="D224" t="inlineStr">
        <is>
          <t>DALARNAS LÄN</t>
        </is>
      </c>
      <c r="E224" t="inlineStr">
        <is>
          <t>GAGNEF</t>
        </is>
      </c>
      <c r="G224" t="n">
        <v>1.9</v>
      </c>
      <c r="H224" t="n">
        <v>0</v>
      </c>
      <c r="I224" t="n">
        <v>0</v>
      </c>
      <c r="J224" t="n">
        <v>0</v>
      </c>
      <c r="K224" t="n">
        <v>0</v>
      </c>
      <c r="L224" t="n">
        <v>0</v>
      </c>
      <c r="M224" t="n">
        <v>0</v>
      </c>
      <c r="N224" t="n">
        <v>0</v>
      </c>
      <c r="O224" t="n">
        <v>0</v>
      </c>
      <c r="P224" t="n">
        <v>0</v>
      </c>
      <c r="Q224" t="n">
        <v>0</v>
      </c>
      <c r="R224" s="2" t="inlineStr"/>
    </row>
    <row r="225" ht="15" customHeight="1">
      <c r="A225" t="inlineStr">
        <is>
          <t>A 52418-2024</t>
        </is>
      </c>
      <c r="B225" s="1" t="n">
        <v>45609.46230324074</v>
      </c>
      <c r="C225" s="1" t="n">
        <v>46137</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46137</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46137</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10717-2024</t>
        </is>
      </c>
      <c r="B228" s="1" t="n">
        <v>45369.46217592592</v>
      </c>
      <c r="C228" s="1" t="n">
        <v>46137</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34313-2025</t>
        </is>
      </c>
      <c r="B229" s="1" t="n">
        <v>45846.39778935185</v>
      </c>
      <c r="C229" s="1" t="n">
        <v>46137</v>
      </c>
      <c r="D229" t="inlineStr">
        <is>
          <t>DALARNAS LÄN</t>
        </is>
      </c>
      <c r="E229" t="inlineStr">
        <is>
          <t>GAGNEF</t>
        </is>
      </c>
      <c r="G229" t="n">
        <v>3.1</v>
      </c>
      <c r="H229" t="n">
        <v>0</v>
      </c>
      <c r="I229" t="n">
        <v>0</v>
      </c>
      <c r="J229" t="n">
        <v>0</v>
      </c>
      <c r="K229" t="n">
        <v>0</v>
      </c>
      <c r="L229" t="n">
        <v>0</v>
      </c>
      <c r="M229" t="n">
        <v>0</v>
      </c>
      <c r="N229" t="n">
        <v>0</v>
      </c>
      <c r="O229" t="n">
        <v>0</v>
      </c>
      <c r="P229" t="n">
        <v>0</v>
      </c>
      <c r="Q229" t="n">
        <v>0</v>
      </c>
      <c r="R229" s="2" t="inlineStr"/>
    </row>
    <row r="230" ht="15" customHeight="1">
      <c r="A230" t="inlineStr">
        <is>
          <t>A 34424-2025</t>
        </is>
      </c>
      <c r="B230" s="1" t="n">
        <v>45846.66884259259</v>
      </c>
      <c r="C230" s="1" t="n">
        <v>46137</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57135-2025</t>
        </is>
      </c>
      <c r="B231" s="1" t="n">
        <v>45979.47457175926</v>
      </c>
      <c r="C231" s="1" t="n">
        <v>46137</v>
      </c>
      <c r="D231" t="inlineStr">
        <is>
          <t>DALARNAS LÄN</t>
        </is>
      </c>
      <c r="E231" t="inlineStr">
        <is>
          <t>GAGNEF</t>
        </is>
      </c>
      <c r="G231" t="n">
        <v>1.9</v>
      </c>
      <c r="H231" t="n">
        <v>0</v>
      </c>
      <c r="I231" t="n">
        <v>0</v>
      </c>
      <c r="J231" t="n">
        <v>0</v>
      </c>
      <c r="K231" t="n">
        <v>0</v>
      </c>
      <c r="L231" t="n">
        <v>0</v>
      </c>
      <c r="M231" t="n">
        <v>0</v>
      </c>
      <c r="N231" t="n">
        <v>0</v>
      </c>
      <c r="O231" t="n">
        <v>0</v>
      </c>
      <c r="P231" t="n">
        <v>0</v>
      </c>
      <c r="Q231" t="n">
        <v>0</v>
      </c>
      <c r="R231" s="2" t="inlineStr"/>
    </row>
    <row r="232" ht="15" customHeight="1">
      <c r="A232" t="inlineStr">
        <is>
          <t>A 34429-2025</t>
        </is>
      </c>
      <c r="B232" s="1" t="n">
        <v>45846.67357638889</v>
      </c>
      <c r="C232" s="1" t="n">
        <v>46137</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34288-2025</t>
        </is>
      </c>
      <c r="B233" s="1" t="n">
        <v>45846.33273148148</v>
      </c>
      <c r="C233" s="1" t="n">
        <v>46137</v>
      </c>
      <c r="D233" t="inlineStr">
        <is>
          <t>DALARNAS LÄN</t>
        </is>
      </c>
      <c r="E233" t="inlineStr">
        <is>
          <t>GAGNEF</t>
        </is>
      </c>
      <c r="G233" t="n">
        <v>1.3</v>
      </c>
      <c r="H233" t="n">
        <v>0</v>
      </c>
      <c r="I233" t="n">
        <v>0</v>
      </c>
      <c r="J233" t="n">
        <v>0</v>
      </c>
      <c r="K233" t="n">
        <v>0</v>
      </c>
      <c r="L233" t="n">
        <v>0</v>
      </c>
      <c r="M233" t="n">
        <v>0</v>
      </c>
      <c r="N233" t="n">
        <v>0</v>
      </c>
      <c r="O233" t="n">
        <v>0</v>
      </c>
      <c r="P233" t="n">
        <v>0</v>
      </c>
      <c r="Q233" t="n">
        <v>0</v>
      </c>
      <c r="R233" s="2" t="inlineStr"/>
    </row>
    <row r="234" ht="15" customHeight="1">
      <c r="A234" t="inlineStr">
        <is>
          <t>A 34421-2025</t>
        </is>
      </c>
      <c r="B234" s="1" t="n">
        <v>45846.66545138889</v>
      </c>
      <c r="C234" s="1" t="n">
        <v>46137</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34436-2025</t>
        </is>
      </c>
      <c r="B235" s="1" t="n">
        <v>45846.68407407407</v>
      </c>
      <c r="C235" s="1" t="n">
        <v>46137</v>
      </c>
      <c r="D235" t="inlineStr">
        <is>
          <t>DALARNAS LÄN</t>
        </is>
      </c>
      <c r="E235" t="inlineStr">
        <is>
          <t>GAGNEF</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16409-2022</t>
        </is>
      </c>
      <c r="B236" s="1" t="n">
        <v>44671</v>
      </c>
      <c r="C236" s="1" t="n">
        <v>46137</v>
      </c>
      <c r="D236" t="inlineStr">
        <is>
          <t>DALARNAS LÄN</t>
        </is>
      </c>
      <c r="E236" t="inlineStr">
        <is>
          <t>GAGNEF</t>
        </is>
      </c>
      <c r="G236" t="n">
        <v>0.5</v>
      </c>
      <c r="H236" t="n">
        <v>0</v>
      </c>
      <c r="I236" t="n">
        <v>0</v>
      </c>
      <c r="J236" t="n">
        <v>0</v>
      </c>
      <c r="K236" t="n">
        <v>0</v>
      </c>
      <c r="L236" t="n">
        <v>0</v>
      </c>
      <c r="M236" t="n">
        <v>0</v>
      </c>
      <c r="N236" t="n">
        <v>0</v>
      </c>
      <c r="O236" t="n">
        <v>0</v>
      </c>
      <c r="P236" t="n">
        <v>0</v>
      </c>
      <c r="Q236" t="n">
        <v>0</v>
      </c>
      <c r="R236" s="2" t="inlineStr"/>
    </row>
    <row r="237" ht="15" customHeight="1">
      <c r="A237" t="inlineStr">
        <is>
          <t>A 34943-2025</t>
        </is>
      </c>
      <c r="B237" s="1" t="n">
        <v>45849</v>
      </c>
      <c r="C237" s="1" t="n">
        <v>46137</v>
      </c>
      <c r="D237" t="inlineStr">
        <is>
          <t>DALARNAS LÄN</t>
        </is>
      </c>
      <c r="E237" t="inlineStr">
        <is>
          <t>GAGNEF</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34793-2025</t>
        </is>
      </c>
      <c r="B238" s="1" t="n">
        <v>45848.73045138889</v>
      </c>
      <c r="C238" s="1" t="n">
        <v>46137</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10744-2022</t>
        </is>
      </c>
      <c r="B239" s="1" t="n">
        <v>44627</v>
      </c>
      <c r="C239" s="1" t="n">
        <v>46137</v>
      </c>
      <c r="D239" t="inlineStr">
        <is>
          <t>DALARNAS LÄN</t>
        </is>
      </c>
      <c r="E239" t="inlineStr">
        <is>
          <t>GAGNEF</t>
        </is>
      </c>
      <c r="G239" t="n">
        <v>5.8</v>
      </c>
      <c r="H239" t="n">
        <v>0</v>
      </c>
      <c r="I239" t="n">
        <v>0</v>
      </c>
      <c r="J239" t="n">
        <v>0</v>
      </c>
      <c r="K239" t="n">
        <v>0</v>
      </c>
      <c r="L239" t="n">
        <v>0</v>
      </c>
      <c r="M239" t="n">
        <v>0</v>
      </c>
      <c r="N239" t="n">
        <v>0</v>
      </c>
      <c r="O239" t="n">
        <v>0</v>
      </c>
      <c r="P239" t="n">
        <v>0</v>
      </c>
      <c r="Q239" t="n">
        <v>0</v>
      </c>
      <c r="R239" s="2" t="inlineStr"/>
    </row>
    <row r="240" ht="15" customHeight="1">
      <c r="A240" t="inlineStr">
        <is>
          <t>A 36244-2025</t>
        </is>
      </c>
      <c r="B240" s="1" t="n">
        <v>45867.55569444445</v>
      </c>
      <c r="C240" s="1" t="n">
        <v>46137</v>
      </c>
      <c r="D240" t="inlineStr">
        <is>
          <t>DALARNAS LÄN</t>
        </is>
      </c>
      <c r="E240" t="inlineStr">
        <is>
          <t>GAGNEF</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36232-2025</t>
        </is>
      </c>
      <c r="B241" s="1" t="n">
        <v>45867.54686342592</v>
      </c>
      <c r="C241" s="1" t="n">
        <v>46137</v>
      </c>
      <c r="D241" t="inlineStr">
        <is>
          <t>DALARNAS LÄN</t>
        </is>
      </c>
      <c r="E241" t="inlineStr">
        <is>
          <t>GAGNEF</t>
        </is>
      </c>
      <c r="G241" t="n">
        <v>3.9</v>
      </c>
      <c r="H241" t="n">
        <v>0</v>
      </c>
      <c r="I241" t="n">
        <v>0</v>
      </c>
      <c r="J241" t="n">
        <v>0</v>
      </c>
      <c r="K241" t="n">
        <v>0</v>
      </c>
      <c r="L241" t="n">
        <v>0</v>
      </c>
      <c r="M241" t="n">
        <v>0</v>
      </c>
      <c r="N241" t="n">
        <v>0</v>
      </c>
      <c r="O241" t="n">
        <v>0</v>
      </c>
      <c r="P241" t="n">
        <v>0</v>
      </c>
      <c r="Q241" t="n">
        <v>0</v>
      </c>
      <c r="R241" s="2" t="inlineStr"/>
    </row>
    <row r="242" ht="15" customHeight="1">
      <c r="A242" t="inlineStr">
        <is>
          <t>A 38723-2025</t>
        </is>
      </c>
      <c r="B242" s="1" t="n">
        <v>45886</v>
      </c>
      <c r="C242" s="1" t="n">
        <v>46137</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42308-2021</t>
        </is>
      </c>
      <c r="B243" s="1" t="n">
        <v>44427</v>
      </c>
      <c r="C243" s="1" t="n">
        <v>46137</v>
      </c>
      <c r="D243" t="inlineStr">
        <is>
          <t>DALARNAS LÄN</t>
        </is>
      </c>
      <c r="E243" t="inlineStr">
        <is>
          <t>GAGNEF</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36802-2025</t>
        </is>
      </c>
      <c r="B244" s="1" t="n">
        <v>45873.67197916667</v>
      </c>
      <c r="C244" s="1" t="n">
        <v>46137</v>
      </c>
      <c r="D244" t="inlineStr">
        <is>
          <t>DALARNAS LÄN</t>
        </is>
      </c>
      <c r="E244" t="inlineStr">
        <is>
          <t>GAGNEF</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59580-2025</t>
        </is>
      </c>
      <c r="B245" s="1" t="n">
        <v>45992.30768518519</v>
      </c>
      <c r="C245" s="1" t="n">
        <v>46137</v>
      </c>
      <c r="D245" t="inlineStr">
        <is>
          <t>DALARNAS LÄN</t>
        </is>
      </c>
      <c r="E245" t="inlineStr">
        <is>
          <t>GAGNEF</t>
        </is>
      </c>
      <c r="G245" t="n">
        <v>4.5</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46137</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36800-2025</t>
        </is>
      </c>
      <c r="B247" s="1" t="n">
        <v>45873</v>
      </c>
      <c r="C247" s="1" t="n">
        <v>46137</v>
      </c>
      <c r="D247" t="inlineStr">
        <is>
          <t>DALARNAS LÄN</t>
        </is>
      </c>
      <c r="E247" t="inlineStr">
        <is>
          <t>GAGNEF</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7344-2024</t>
        </is>
      </c>
      <c r="B248" s="1" t="n">
        <v>45345.45414351852</v>
      </c>
      <c r="C248" s="1" t="n">
        <v>46137</v>
      </c>
      <c r="D248" t="inlineStr">
        <is>
          <t>DALARNAS LÄN</t>
        </is>
      </c>
      <c r="E248" t="inlineStr">
        <is>
          <t>GAGNEF</t>
        </is>
      </c>
      <c r="G248" t="n">
        <v>2.3</v>
      </c>
      <c r="H248" t="n">
        <v>0</v>
      </c>
      <c r="I248" t="n">
        <v>0</v>
      </c>
      <c r="J248" t="n">
        <v>0</v>
      </c>
      <c r="K248" t="n">
        <v>0</v>
      </c>
      <c r="L248" t="n">
        <v>0</v>
      </c>
      <c r="M248" t="n">
        <v>0</v>
      </c>
      <c r="N248" t="n">
        <v>0</v>
      </c>
      <c r="O248" t="n">
        <v>0</v>
      </c>
      <c r="P248" t="n">
        <v>0</v>
      </c>
      <c r="Q248" t="n">
        <v>0</v>
      </c>
      <c r="R248" s="2" t="inlineStr"/>
    </row>
    <row r="249" ht="15" customHeight="1">
      <c r="A249" t="inlineStr">
        <is>
          <t>A 36562-2025</t>
        </is>
      </c>
      <c r="B249" s="1" t="n">
        <v>45870</v>
      </c>
      <c r="C249" s="1" t="n">
        <v>46137</v>
      </c>
      <c r="D249" t="inlineStr">
        <is>
          <t>DALARNAS LÄN</t>
        </is>
      </c>
      <c r="E249" t="inlineStr">
        <is>
          <t>GAGNEF</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60572-2025</t>
        </is>
      </c>
      <c r="B250" s="1" t="n">
        <v>45995.94155092593</v>
      </c>
      <c r="C250" s="1" t="n">
        <v>46137</v>
      </c>
      <c r="D250" t="inlineStr">
        <is>
          <t>DALARNAS LÄN</t>
        </is>
      </c>
      <c r="E250" t="inlineStr">
        <is>
          <t>GAGNEF</t>
        </is>
      </c>
      <c r="G250" t="n">
        <v>2.3</v>
      </c>
      <c r="H250" t="n">
        <v>0</v>
      </c>
      <c r="I250" t="n">
        <v>0</v>
      </c>
      <c r="J250" t="n">
        <v>0</v>
      </c>
      <c r="K250" t="n">
        <v>0</v>
      </c>
      <c r="L250" t="n">
        <v>0</v>
      </c>
      <c r="M250" t="n">
        <v>0</v>
      </c>
      <c r="N250" t="n">
        <v>0</v>
      </c>
      <c r="O250" t="n">
        <v>0</v>
      </c>
      <c r="P250" t="n">
        <v>0</v>
      </c>
      <c r="Q250" t="n">
        <v>0</v>
      </c>
      <c r="R250" s="2" t="inlineStr"/>
    </row>
    <row r="251" ht="15" customHeight="1">
      <c r="A251" t="inlineStr">
        <is>
          <t>A 15670-2024</t>
        </is>
      </c>
      <c r="B251" s="1" t="n">
        <v>45404.39177083333</v>
      </c>
      <c r="C251" s="1" t="n">
        <v>46137</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17710-2023</t>
        </is>
      </c>
      <c r="B252" s="1" t="n">
        <v>45037.38356481482</v>
      </c>
      <c r="C252" s="1" t="n">
        <v>46137</v>
      </c>
      <c r="D252" t="inlineStr">
        <is>
          <t>DALARNAS LÄN</t>
        </is>
      </c>
      <c r="E252" t="inlineStr">
        <is>
          <t>GAGNEF</t>
        </is>
      </c>
      <c r="G252" t="n">
        <v>10.7</v>
      </c>
      <c r="H252" t="n">
        <v>0</v>
      </c>
      <c r="I252" t="n">
        <v>0</v>
      </c>
      <c r="J252" t="n">
        <v>0</v>
      </c>
      <c r="K252" t="n">
        <v>0</v>
      </c>
      <c r="L252" t="n">
        <v>0</v>
      </c>
      <c r="M252" t="n">
        <v>0</v>
      </c>
      <c r="N252" t="n">
        <v>0</v>
      </c>
      <c r="O252" t="n">
        <v>0</v>
      </c>
      <c r="P252" t="n">
        <v>0</v>
      </c>
      <c r="Q252" t="n">
        <v>0</v>
      </c>
      <c r="R252" s="2" t="inlineStr"/>
    </row>
    <row r="253" ht="15" customHeight="1">
      <c r="A253" t="inlineStr">
        <is>
          <t>A 54181-2025</t>
        </is>
      </c>
      <c r="B253" s="1" t="n">
        <v>45964</v>
      </c>
      <c r="C253" s="1" t="n">
        <v>46137</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60885-2024</t>
        </is>
      </c>
      <c r="B254" s="1" t="n">
        <v>45644</v>
      </c>
      <c r="C254" s="1" t="n">
        <v>46137</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54178-2025</t>
        </is>
      </c>
      <c r="B255" s="1" t="n">
        <v>45964</v>
      </c>
      <c r="C255" s="1" t="n">
        <v>46137</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63184-2025</t>
        </is>
      </c>
      <c r="B256" s="1" t="n">
        <v>46010.43115740741</v>
      </c>
      <c r="C256" s="1" t="n">
        <v>46137</v>
      </c>
      <c r="D256" t="inlineStr">
        <is>
          <t>DALARNAS LÄN</t>
        </is>
      </c>
      <c r="E256" t="inlineStr">
        <is>
          <t>GAGNEF</t>
        </is>
      </c>
      <c r="G256" t="n">
        <v>4.3</v>
      </c>
      <c r="H256" t="n">
        <v>0</v>
      </c>
      <c r="I256" t="n">
        <v>0</v>
      </c>
      <c r="J256" t="n">
        <v>0</v>
      </c>
      <c r="K256" t="n">
        <v>0</v>
      </c>
      <c r="L256" t="n">
        <v>0</v>
      </c>
      <c r="M256" t="n">
        <v>0</v>
      </c>
      <c r="N256" t="n">
        <v>0</v>
      </c>
      <c r="O256" t="n">
        <v>0</v>
      </c>
      <c r="P256" t="n">
        <v>0</v>
      </c>
      <c r="Q256" t="n">
        <v>0</v>
      </c>
      <c r="R256" s="2" t="inlineStr"/>
    </row>
    <row r="257" ht="15" customHeight="1">
      <c r="A257" t="inlineStr">
        <is>
          <t>A 33034-2021</t>
        </is>
      </c>
      <c r="B257" s="1" t="n">
        <v>44376</v>
      </c>
      <c r="C257" s="1" t="n">
        <v>46137</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63203-2023</t>
        </is>
      </c>
      <c r="B258" s="1" t="n">
        <v>45273.60798611111</v>
      </c>
      <c r="C258" s="1" t="n">
        <v>46137</v>
      </c>
      <c r="D258" t="inlineStr">
        <is>
          <t>DALARNAS LÄN</t>
        </is>
      </c>
      <c r="E258" t="inlineStr">
        <is>
          <t>GAGNEF</t>
        </is>
      </c>
      <c r="G258" t="n">
        <v>3.2</v>
      </c>
      <c r="H258" t="n">
        <v>0</v>
      </c>
      <c r="I258" t="n">
        <v>0</v>
      </c>
      <c r="J258" t="n">
        <v>0</v>
      </c>
      <c r="K258" t="n">
        <v>0</v>
      </c>
      <c r="L258" t="n">
        <v>0</v>
      </c>
      <c r="M258" t="n">
        <v>0</v>
      </c>
      <c r="N258" t="n">
        <v>0</v>
      </c>
      <c r="O258" t="n">
        <v>0</v>
      </c>
      <c r="P258" t="n">
        <v>0</v>
      </c>
      <c r="Q258" t="n">
        <v>0</v>
      </c>
      <c r="R258" s="2" t="inlineStr"/>
    </row>
    <row r="259" ht="15" customHeight="1">
      <c r="A259" t="inlineStr">
        <is>
          <t>A 63707-2025</t>
        </is>
      </c>
      <c r="B259" s="1" t="n">
        <v>46014.61262731482</v>
      </c>
      <c r="C259" s="1" t="n">
        <v>46137</v>
      </c>
      <c r="D259" t="inlineStr">
        <is>
          <t>DALARNAS LÄN</t>
        </is>
      </c>
      <c r="E259" t="inlineStr">
        <is>
          <t>GAGNEF</t>
        </is>
      </c>
      <c r="G259" t="n">
        <v>6.4</v>
      </c>
      <c r="H259" t="n">
        <v>0</v>
      </c>
      <c r="I259" t="n">
        <v>0</v>
      </c>
      <c r="J259" t="n">
        <v>0</v>
      </c>
      <c r="K259" t="n">
        <v>0</v>
      </c>
      <c r="L259" t="n">
        <v>0</v>
      </c>
      <c r="M259" t="n">
        <v>0</v>
      </c>
      <c r="N259" t="n">
        <v>0</v>
      </c>
      <c r="O259" t="n">
        <v>0</v>
      </c>
      <c r="P259" t="n">
        <v>0</v>
      </c>
      <c r="Q259" t="n">
        <v>0</v>
      </c>
      <c r="R259" s="2" t="inlineStr"/>
    </row>
    <row r="260" ht="15" customHeight="1">
      <c r="A260" t="inlineStr">
        <is>
          <t>A 44336-2024</t>
        </is>
      </c>
      <c r="B260" s="1" t="n">
        <v>45573.61174768519</v>
      </c>
      <c r="C260" s="1" t="n">
        <v>46137</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19033-2024</t>
        </is>
      </c>
      <c r="B261" s="1" t="n">
        <v>45427.6833449074</v>
      </c>
      <c r="C261" s="1" t="n">
        <v>46137</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32848-2024</t>
        </is>
      </c>
      <c r="B262" s="1" t="n">
        <v>45516.63170138889</v>
      </c>
      <c r="C262" s="1" t="n">
        <v>46137</v>
      </c>
      <c r="D262" t="inlineStr">
        <is>
          <t>DALARNAS LÄN</t>
        </is>
      </c>
      <c r="E262" t="inlineStr">
        <is>
          <t>GAGNEF</t>
        </is>
      </c>
      <c r="F262" t="inlineStr">
        <is>
          <t>Bergvik skog väst AB</t>
        </is>
      </c>
      <c r="G262" t="n">
        <v>4.3</v>
      </c>
      <c r="H262" t="n">
        <v>0</v>
      </c>
      <c r="I262" t="n">
        <v>0</v>
      </c>
      <c r="J262" t="n">
        <v>0</v>
      </c>
      <c r="K262" t="n">
        <v>0</v>
      </c>
      <c r="L262" t="n">
        <v>0</v>
      </c>
      <c r="M262" t="n">
        <v>0</v>
      </c>
      <c r="N262" t="n">
        <v>0</v>
      </c>
      <c r="O262" t="n">
        <v>0</v>
      </c>
      <c r="P262" t="n">
        <v>0</v>
      </c>
      <c r="Q262" t="n">
        <v>0</v>
      </c>
      <c r="R262" s="2" t="inlineStr"/>
    </row>
    <row r="263" ht="15" customHeight="1">
      <c r="A263" t="inlineStr">
        <is>
          <t>A 63796-2025</t>
        </is>
      </c>
      <c r="B263" s="1" t="n">
        <v>46019.81944444445</v>
      </c>
      <c r="C263" s="1" t="n">
        <v>46137</v>
      </c>
      <c r="D263" t="inlineStr">
        <is>
          <t>DALARNAS LÄN</t>
        </is>
      </c>
      <c r="E263" t="inlineStr">
        <is>
          <t>GAGNEF</t>
        </is>
      </c>
      <c r="G263" t="n">
        <v>12.8</v>
      </c>
      <c r="H263" t="n">
        <v>0</v>
      </c>
      <c r="I263" t="n">
        <v>0</v>
      </c>
      <c r="J263" t="n">
        <v>0</v>
      </c>
      <c r="K263" t="n">
        <v>0</v>
      </c>
      <c r="L263" t="n">
        <v>0</v>
      </c>
      <c r="M263" t="n">
        <v>0</v>
      </c>
      <c r="N263" t="n">
        <v>0</v>
      </c>
      <c r="O263" t="n">
        <v>0</v>
      </c>
      <c r="P263" t="n">
        <v>0</v>
      </c>
      <c r="Q263" t="n">
        <v>0</v>
      </c>
      <c r="R263" s="2" t="inlineStr"/>
    </row>
    <row r="264" ht="15" customHeight="1">
      <c r="A264" t="inlineStr">
        <is>
          <t>A 117-2026</t>
        </is>
      </c>
      <c r="B264" s="1" t="n">
        <v>46024.5670949074</v>
      </c>
      <c r="C264" s="1" t="n">
        <v>46137</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120-2026</t>
        </is>
      </c>
      <c r="B265" s="1" t="n">
        <v>46024.57240740741</v>
      </c>
      <c r="C265" s="1" t="n">
        <v>46137</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115-2026</t>
        </is>
      </c>
      <c r="B266" s="1" t="n">
        <v>46024.56222222222</v>
      </c>
      <c r="C266" s="1" t="n">
        <v>46137</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126-2026</t>
        </is>
      </c>
      <c r="B267" s="1" t="n">
        <v>46024.59197916667</v>
      </c>
      <c r="C267" s="1" t="n">
        <v>46137</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245-2026</t>
        </is>
      </c>
      <c r="B268" s="1" t="n">
        <v>46027</v>
      </c>
      <c r="C268" s="1" t="n">
        <v>46137</v>
      </c>
      <c r="D268" t="inlineStr">
        <is>
          <t>DALARNAS LÄN</t>
        </is>
      </c>
      <c r="E268" t="inlineStr">
        <is>
          <t>GAGNEF</t>
        </is>
      </c>
      <c r="G268" t="n">
        <v>6.4</v>
      </c>
      <c r="H268" t="n">
        <v>0</v>
      </c>
      <c r="I268" t="n">
        <v>0</v>
      </c>
      <c r="J268" t="n">
        <v>0</v>
      </c>
      <c r="K268" t="n">
        <v>0</v>
      </c>
      <c r="L268" t="n">
        <v>0</v>
      </c>
      <c r="M268" t="n">
        <v>0</v>
      </c>
      <c r="N268" t="n">
        <v>0</v>
      </c>
      <c r="O268" t="n">
        <v>0</v>
      </c>
      <c r="P268" t="n">
        <v>0</v>
      </c>
      <c r="Q268" t="n">
        <v>0</v>
      </c>
      <c r="R268" s="2" t="inlineStr"/>
    </row>
    <row r="269" ht="15" customHeight="1">
      <c r="A269" t="inlineStr">
        <is>
          <t>A 55-2026</t>
        </is>
      </c>
      <c r="B269" s="1" t="n">
        <v>46024.4365625</v>
      </c>
      <c r="C269" s="1" t="n">
        <v>46137</v>
      </c>
      <c r="D269" t="inlineStr">
        <is>
          <t>DALARNAS LÄN</t>
        </is>
      </c>
      <c r="E269" t="inlineStr">
        <is>
          <t>GAGNEF</t>
        </is>
      </c>
      <c r="G269" t="n">
        <v>6.5</v>
      </c>
      <c r="H269" t="n">
        <v>0</v>
      </c>
      <c r="I269" t="n">
        <v>0</v>
      </c>
      <c r="J269" t="n">
        <v>0</v>
      </c>
      <c r="K269" t="n">
        <v>0</v>
      </c>
      <c r="L269" t="n">
        <v>0</v>
      </c>
      <c r="M269" t="n">
        <v>0</v>
      </c>
      <c r="N269" t="n">
        <v>0</v>
      </c>
      <c r="O269" t="n">
        <v>0</v>
      </c>
      <c r="P269" t="n">
        <v>0</v>
      </c>
      <c r="Q269" t="n">
        <v>0</v>
      </c>
      <c r="R269" s="2" t="inlineStr"/>
    </row>
    <row r="270" ht="15" customHeight="1">
      <c r="A270" t="inlineStr">
        <is>
          <t>A 134-2026</t>
        </is>
      </c>
      <c r="B270" s="1" t="n">
        <v>46024.60538194444</v>
      </c>
      <c r="C270" s="1" t="n">
        <v>46137</v>
      </c>
      <c r="D270" t="inlineStr">
        <is>
          <t>DALARNAS LÄN</t>
        </is>
      </c>
      <c r="E270" t="inlineStr">
        <is>
          <t>GAGNEF</t>
        </is>
      </c>
      <c r="G270" t="n">
        <v>4.7</v>
      </c>
      <c r="H270" t="n">
        <v>0</v>
      </c>
      <c r="I270" t="n">
        <v>0</v>
      </c>
      <c r="J270" t="n">
        <v>0</v>
      </c>
      <c r="K270" t="n">
        <v>0</v>
      </c>
      <c r="L270" t="n">
        <v>0</v>
      </c>
      <c r="M270" t="n">
        <v>0</v>
      </c>
      <c r="N270" t="n">
        <v>0</v>
      </c>
      <c r="O270" t="n">
        <v>0</v>
      </c>
      <c r="P270" t="n">
        <v>0</v>
      </c>
      <c r="Q270" t="n">
        <v>0</v>
      </c>
      <c r="R270" s="2" t="inlineStr"/>
    </row>
    <row r="271" ht="15" customHeight="1">
      <c r="A271" t="inlineStr">
        <is>
          <t>A 131-2026</t>
        </is>
      </c>
      <c r="B271" s="1" t="n">
        <v>46024.60009259259</v>
      </c>
      <c r="C271" s="1" t="n">
        <v>46137</v>
      </c>
      <c r="D271" t="inlineStr">
        <is>
          <t>DALARNAS LÄN</t>
        </is>
      </c>
      <c r="E271" t="inlineStr">
        <is>
          <t>GAGNEF</t>
        </is>
      </c>
      <c r="G271" t="n">
        <v>0.4</v>
      </c>
      <c r="H271" t="n">
        <v>0</v>
      </c>
      <c r="I271" t="n">
        <v>0</v>
      </c>
      <c r="J271" t="n">
        <v>0</v>
      </c>
      <c r="K271" t="n">
        <v>0</v>
      </c>
      <c r="L271" t="n">
        <v>0</v>
      </c>
      <c r="M271" t="n">
        <v>0</v>
      </c>
      <c r="N271" t="n">
        <v>0</v>
      </c>
      <c r="O271" t="n">
        <v>0</v>
      </c>
      <c r="P271" t="n">
        <v>0</v>
      </c>
      <c r="Q271" t="n">
        <v>0</v>
      </c>
      <c r="R271" s="2" t="inlineStr"/>
    </row>
    <row r="272" ht="15" customHeight="1">
      <c r="A272" t="inlineStr">
        <is>
          <t>A 340-2026</t>
        </is>
      </c>
      <c r="B272" s="1" t="n">
        <v>46027</v>
      </c>
      <c r="C272" s="1" t="n">
        <v>46137</v>
      </c>
      <c r="D272" t="inlineStr">
        <is>
          <t>DALARNAS LÄN</t>
        </is>
      </c>
      <c r="E272" t="inlineStr">
        <is>
          <t>GAGNEF</t>
        </is>
      </c>
      <c r="G272" t="n">
        <v>3.3</v>
      </c>
      <c r="H272" t="n">
        <v>0</v>
      </c>
      <c r="I272" t="n">
        <v>0</v>
      </c>
      <c r="J272" t="n">
        <v>0</v>
      </c>
      <c r="K272" t="n">
        <v>0</v>
      </c>
      <c r="L272" t="n">
        <v>0</v>
      </c>
      <c r="M272" t="n">
        <v>0</v>
      </c>
      <c r="N272" t="n">
        <v>0</v>
      </c>
      <c r="O272" t="n">
        <v>0</v>
      </c>
      <c r="P272" t="n">
        <v>0</v>
      </c>
      <c r="Q272" t="n">
        <v>0</v>
      </c>
      <c r="R272" s="2" t="inlineStr"/>
    </row>
    <row r="273" ht="15" customHeight="1">
      <c r="A273" t="inlineStr">
        <is>
          <t>A 301-2026</t>
        </is>
      </c>
      <c r="B273" s="1" t="n">
        <v>46027.52238425926</v>
      </c>
      <c r="C273" s="1" t="n">
        <v>46137</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1367-2026</t>
        </is>
      </c>
      <c r="B274" s="1" t="n">
        <v>46031</v>
      </c>
      <c r="C274" s="1" t="n">
        <v>46137</v>
      </c>
      <c r="D274" t="inlineStr">
        <is>
          <t>DALARNAS LÄN</t>
        </is>
      </c>
      <c r="E274" t="inlineStr">
        <is>
          <t>GAGNEF</t>
        </is>
      </c>
      <c r="G274" t="n">
        <v>14.8</v>
      </c>
      <c r="H274" t="n">
        <v>0</v>
      </c>
      <c r="I274" t="n">
        <v>0</v>
      </c>
      <c r="J274" t="n">
        <v>0</v>
      </c>
      <c r="K274" t="n">
        <v>0</v>
      </c>
      <c r="L274" t="n">
        <v>0</v>
      </c>
      <c r="M274" t="n">
        <v>0</v>
      </c>
      <c r="N274" t="n">
        <v>0</v>
      </c>
      <c r="O274" t="n">
        <v>0</v>
      </c>
      <c r="P274" t="n">
        <v>0</v>
      </c>
      <c r="Q274" t="n">
        <v>0</v>
      </c>
      <c r="R274" s="2" t="inlineStr"/>
    </row>
    <row r="275" ht="15" customHeight="1">
      <c r="A275" t="inlineStr">
        <is>
          <t>A 1421-2026</t>
        </is>
      </c>
      <c r="B275" s="1" t="n">
        <v>46031</v>
      </c>
      <c r="C275" s="1" t="n">
        <v>46137</v>
      </c>
      <c r="D275" t="inlineStr">
        <is>
          <t>DALARNAS LÄN</t>
        </is>
      </c>
      <c r="E275" t="inlineStr">
        <is>
          <t>GAGNEF</t>
        </is>
      </c>
      <c r="G275" t="n">
        <v>6.6</v>
      </c>
      <c r="H275" t="n">
        <v>0</v>
      </c>
      <c r="I275" t="n">
        <v>0</v>
      </c>
      <c r="J275" t="n">
        <v>0</v>
      </c>
      <c r="K275" t="n">
        <v>0</v>
      </c>
      <c r="L275" t="n">
        <v>0</v>
      </c>
      <c r="M275" t="n">
        <v>0</v>
      </c>
      <c r="N275" t="n">
        <v>0</v>
      </c>
      <c r="O275" t="n">
        <v>0</v>
      </c>
      <c r="P275" t="n">
        <v>0</v>
      </c>
      <c r="Q275" t="n">
        <v>0</v>
      </c>
      <c r="R275" s="2" t="inlineStr"/>
    </row>
    <row r="276" ht="15" customHeight="1">
      <c r="A276" t="inlineStr">
        <is>
          <t>A 1276-2026</t>
        </is>
      </c>
      <c r="B276" s="1" t="n">
        <v>46031.47527777778</v>
      </c>
      <c r="C276" s="1" t="n">
        <v>46137</v>
      </c>
      <c r="D276" t="inlineStr">
        <is>
          <t>DALARNAS LÄN</t>
        </is>
      </c>
      <c r="E276" t="inlineStr">
        <is>
          <t>GAGNEF</t>
        </is>
      </c>
      <c r="G276" t="n">
        <v>5.6</v>
      </c>
      <c r="H276" t="n">
        <v>0</v>
      </c>
      <c r="I276" t="n">
        <v>0</v>
      </c>
      <c r="J276" t="n">
        <v>0</v>
      </c>
      <c r="K276" t="n">
        <v>0</v>
      </c>
      <c r="L276" t="n">
        <v>0</v>
      </c>
      <c r="M276" t="n">
        <v>0</v>
      </c>
      <c r="N276" t="n">
        <v>0</v>
      </c>
      <c r="O276" t="n">
        <v>0</v>
      </c>
      <c r="P276" t="n">
        <v>0</v>
      </c>
      <c r="Q276" t="n">
        <v>0</v>
      </c>
      <c r="R276" s="2" t="inlineStr"/>
    </row>
    <row r="277" ht="15" customHeight="1">
      <c r="A277" t="inlineStr">
        <is>
          <t>A 48867-2024</t>
        </is>
      </c>
      <c r="B277" s="1" t="n">
        <v>45594.25377314815</v>
      </c>
      <c r="C277" s="1" t="n">
        <v>46137</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1411-2026</t>
        </is>
      </c>
      <c r="B278" s="1" t="n">
        <v>46031.66760416667</v>
      </c>
      <c r="C278" s="1" t="n">
        <v>46137</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1413-2026</t>
        </is>
      </c>
      <c r="B279" s="1" t="n">
        <v>46031.68702546296</v>
      </c>
      <c r="C279" s="1" t="n">
        <v>46137</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1100-2026</t>
        </is>
      </c>
      <c r="B280" s="1" t="n">
        <v>46030.6665625</v>
      </c>
      <c r="C280" s="1" t="n">
        <v>46137</v>
      </c>
      <c r="D280" t="inlineStr">
        <is>
          <t>DALARNAS LÄN</t>
        </is>
      </c>
      <c r="E280" t="inlineStr">
        <is>
          <t>GAGNEF</t>
        </is>
      </c>
      <c r="G280" t="n">
        <v>10.7</v>
      </c>
      <c r="H280" t="n">
        <v>0</v>
      </c>
      <c r="I280" t="n">
        <v>0</v>
      </c>
      <c r="J280" t="n">
        <v>0</v>
      </c>
      <c r="K280" t="n">
        <v>0</v>
      </c>
      <c r="L280" t="n">
        <v>0</v>
      </c>
      <c r="M280" t="n">
        <v>0</v>
      </c>
      <c r="N280" t="n">
        <v>0</v>
      </c>
      <c r="O280" t="n">
        <v>0</v>
      </c>
      <c r="P280" t="n">
        <v>0</v>
      </c>
      <c r="Q280" t="n">
        <v>0</v>
      </c>
      <c r="R280" s="2" t="inlineStr"/>
    </row>
    <row r="281" ht="15" customHeight="1">
      <c r="A281" t="inlineStr">
        <is>
          <t>A 1432-2026</t>
        </is>
      </c>
      <c r="B281" s="1" t="n">
        <v>46032.41707175926</v>
      </c>
      <c r="C281" s="1" t="n">
        <v>46137</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12816-2025</t>
        </is>
      </c>
      <c r="B282" s="1" t="n">
        <v>45733.62307870371</v>
      </c>
      <c r="C282" s="1" t="n">
        <v>46137</v>
      </c>
      <c r="D282" t="inlineStr">
        <is>
          <t>DALARNAS LÄN</t>
        </is>
      </c>
      <c r="E282" t="inlineStr">
        <is>
          <t>GAGNEF</t>
        </is>
      </c>
      <c r="G282" t="n">
        <v>2.9</v>
      </c>
      <c r="H282" t="n">
        <v>0</v>
      </c>
      <c r="I282" t="n">
        <v>0</v>
      </c>
      <c r="J282" t="n">
        <v>0</v>
      </c>
      <c r="K282" t="n">
        <v>0</v>
      </c>
      <c r="L282" t="n">
        <v>0</v>
      </c>
      <c r="M282" t="n">
        <v>0</v>
      </c>
      <c r="N282" t="n">
        <v>0</v>
      </c>
      <c r="O282" t="n">
        <v>0</v>
      </c>
      <c r="P282" t="n">
        <v>0</v>
      </c>
      <c r="Q282" t="n">
        <v>0</v>
      </c>
      <c r="R282" s="2" t="inlineStr"/>
    </row>
    <row r="283" ht="15" customHeight="1">
      <c r="A283" t="inlineStr">
        <is>
          <t>A 1430-2026</t>
        </is>
      </c>
      <c r="B283" s="1" t="n">
        <v>46032.39976851852</v>
      </c>
      <c r="C283" s="1" t="n">
        <v>46137</v>
      </c>
      <c r="D283" t="inlineStr">
        <is>
          <t>DALARNAS LÄN</t>
        </is>
      </c>
      <c r="E283" t="inlineStr">
        <is>
          <t>GAGNEF</t>
        </is>
      </c>
      <c r="G283" t="n">
        <v>4.2</v>
      </c>
      <c r="H283" t="n">
        <v>0</v>
      </c>
      <c r="I283" t="n">
        <v>0</v>
      </c>
      <c r="J283" t="n">
        <v>0</v>
      </c>
      <c r="K283" t="n">
        <v>0</v>
      </c>
      <c r="L283" t="n">
        <v>0</v>
      </c>
      <c r="M283" t="n">
        <v>0</v>
      </c>
      <c r="N283" t="n">
        <v>0</v>
      </c>
      <c r="O283" t="n">
        <v>0</v>
      </c>
      <c r="P283" t="n">
        <v>0</v>
      </c>
      <c r="Q283" t="n">
        <v>0</v>
      </c>
      <c r="R283" s="2" t="inlineStr"/>
    </row>
    <row r="284" ht="15" customHeight="1">
      <c r="A284" t="inlineStr">
        <is>
          <t>A 1431-2026</t>
        </is>
      </c>
      <c r="B284" s="1" t="n">
        <v>46032.41365740741</v>
      </c>
      <c r="C284" s="1" t="n">
        <v>46137</v>
      </c>
      <c r="D284" t="inlineStr">
        <is>
          <t>DALARNAS LÄN</t>
        </is>
      </c>
      <c r="E284" t="inlineStr">
        <is>
          <t>GAGNEF</t>
        </is>
      </c>
      <c r="G284" t="n">
        <v>8.4</v>
      </c>
      <c r="H284" t="n">
        <v>0</v>
      </c>
      <c r="I284" t="n">
        <v>0</v>
      </c>
      <c r="J284" t="n">
        <v>0</v>
      </c>
      <c r="K284" t="n">
        <v>0</v>
      </c>
      <c r="L284" t="n">
        <v>0</v>
      </c>
      <c r="M284" t="n">
        <v>0</v>
      </c>
      <c r="N284" t="n">
        <v>0</v>
      </c>
      <c r="O284" t="n">
        <v>0</v>
      </c>
      <c r="P284" t="n">
        <v>0</v>
      </c>
      <c r="Q284" t="n">
        <v>0</v>
      </c>
      <c r="R284" s="2" t="inlineStr"/>
    </row>
    <row r="285" ht="15" customHeight="1">
      <c r="A285" t="inlineStr">
        <is>
          <t>A 1584-2026</t>
        </is>
      </c>
      <c r="B285" s="1" t="n">
        <v>46034.43663194445</v>
      </c>
      <c r="C285" s="1" t="n">
        <v>46137</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2393-2026</t>
        </is>
      </c>
      <c r="B286" s="1" t="n">
        <v>46036.67758101852</v>
      </c>
      <c r="C286" s="1" t="n">
        <v>46137</v>
      </c>
      <c r="D286" t="inlineStr">
        <is>
          <t>DALARNAS LÄN</t>
        </is>
      </c>
      <c r="E286" t="inlineStr">
        <is>
          <t>GAGNEF</t>
        </is>
      </c>
      <c r="G286" t="n">
        <v>12.4</v>
      </c>
      <c r="H286" t="n">
        <v>0</v>
      </c>
      <c r="I286" t="n">
        <v>0</v>
      </c>
      <c r="J286" t="n">
        <v>0</v>
      </c>
      <c r="K286" t="n">
        <v>0</v>
      </c>
      <c r="L286" t="n">
        <v>0</v>
      </c>
      <c r="M286" t="n">
        <v>0</v>
      </c>
      <c r="N286" t="n">
        <v>0</v>
      </c>
      <c r="O286" t="n">
        <v>0</v>
      </c>
      <c r="P286" t="n">
        <v>0</v>
      </c>
      <c r="Q286" t="n">
        <v>0</v>
      </c>
      <c r="R286" s="2" t="inlineStr"/>
    </row>
    <row r="287" ht="15" customHeight="1">
      <c r="A287" t="inlineStr">
        <is>
          <t>A 2707-2026</t>
        </is>
      </c>
      <c r="B287" s="1" t="n">
        <v>46037.71488425926</v>
      </c>
      <c r="C287" s="1" t="n">
        <v>46137</v>
      </c>
      <c r="D287" t="inlineStr">
        <is>
          <t>DALARNAS LÄN</t>
        </is>
      </c>
      <c r="E287" t="inlineStr">
        <is>
          <t>GAGNEF</t>
        </is>
      </c>
      <c r="G287" t="n">
        <v>0.9</v>
      </c>
      <c r="H287" t="n">
        <v>0</v>
      </c>
      <c r="I287" t="n">
        <v>0</v>
      </c>
      <c r="J287" t="n">
        <v>0</v>
      </c>
      <c r="K287" t="n">
        <v>0</v>
      </c>
      <c r="L287" t="n">
        <v>0</v>
      </c>
      <c r="M287" t="n">
        <v>0</v>
      </c>
      <c r="N287" t="n">
        <v>0</v>
      </c>
      <c r="O287" t="n">
        <v>0</v>
      </c>
      <c r="P287" t="n">
        <v>0</v>
      </c>
      <c r="Q287" t="n">
        <v>0</v>
      </c>
      <c r="R287" s="2" t="inlineStr"/>
    </row>
    <row r="288" ht="15" customHeight="1">
      <c r="A288" t="inlineStr">
        <is>
          <t>A 2172-2026</t>
        </is>
      </c>
      <c r="B288" s="1" t="n">
        <v>46036.44976851852</v>
      </c>
      <c r="C288" s="1" t="n">
        <v>46137</v>
      </c>
      <c r="D288" t="inlineStr">
        <is>
          <t>DALARNAS LÄN</t>
        </is>
      </c>
      <c r="E288" t="inlineStr">
        <is>
          <t>GAGNEF</t>
        </is>
      </c>
      <c r="G288" t="n">
        <v>1.3</v>
      </c>
      <c r="H288" t="n">
        <v>0</v>
      </c>
      <c r="I288" t="n">
        <v>0</v>
      </c>
      <c r="J288" t="n">
        <v>0</v>
      </c>
      <c r="K288" t="n">
        <v>0</v>
      </c>
      <c r="L288" t="n">
        <v>0</v>
      </c>
      <c r="M288" t="n">
        <v>0</v>
      </c>
      <c r="N288" t="n">
        <v>0</v>
      </c>
      <c r="O288" t="n">
        <v>0</v>
      </c>
      <c r="P288" t="n">
        <v>0</v>
      </c>
      <c r="Q288" t="n">
        <v>0</v>
      </c>
      <c r="R288" s="2" t="inlineStr"/>
    </row>
    <row r="289" ht="15" customHeight="1">
      <c r="A289" t="inlineStr">
        <is>
          <t>A 44572-2024</t>
        </is>
      </c>
      <c r="B289" s="1" t="n">
        <v>45574</v>
      </c>
      <c r="C289" s="1" t="n">
        <v>46137</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3125-2026</t>
        </is>
      </c>
      <c r="B290" s="1" t="n">
        <v>46041</v>
      </c>
      <c r="C290" s="1" t="n">
        <v>46137</v>
      </c>
      <c r="D290" t="inlineStr">
        <is>
          <t>DALARNAS LÄN</t>
        </is>
      </c>
      <c r="E290" t="inlineStr">
        <is>
          <t>GAGNEF</t>
        </is>
      </c>
      <c r="G290" t="n">
        <v>3.3</v>
      </c>
      <c r="H290" t="n">
        <v>0</v>
      </c>
      <c r="I290" t="n">
        <v>0</v>
      </c>
      <c r="J290" t="n">
        <v>0</v>
      </c>
      <c r="K290" t="n">
        <v>0</v>
      </c>
      <c r="L290" t="n">
        <v>0</v>
      </c>
      <c r="M290" t="n">
        <v>0</v>
      </c>
      <c r="N290" t="n">
        <v>0</v>
      </c>
      <c r="O290" t="n">
        <v>0</v>
      </c>
      <c r="P290" t="n">
        <v>0</v>
      </c>
      <c r="Q290" t="n">
        <v>0</v>
      </c>
      <c r="R290" s="2" t="inlineStr"/>
    </row>
    <row r="291" ht="15" customHeight="1">
      <c r="A291" t="inlineStr">
        <is>
          <t>A 3599-2026</t>
        </is>
      </c>
      <c r="B291" s="1" t="n">
        <v>46042</v>
      </c>
      <c r="C291" s="1" t="n">
        <v>46137</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3389-2026</t>
        </is>
      </c>
      <c r="B292" s="1" t="n">
        <v>46042.36956018519</v>
      </c>
      <c r="C292" s="1" t="n">
        <v>46137</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45596-2023</t>
        </is>
      </c>
      <c r="B293" s="1" t="n">
        <v>45194.64077546296</v>
      </c>
      <c r="C293" s="1" t="n">
        <v>46137</v>
      </c>
      <c r="D293" t="inlineStr">
        <is>
          <t>DALARNAS LÄN</t>
        </is>
      </c>
      <c r="E293" t="inlineStr">
        <is>
          <t>GAGNEF</t>
        </is>
      </c>
      <c r="G293" t="n">
        <v>4.7</v>
      </c>
      <c r="H293" t="n">
        <v>0</v>
      </c>
      <c r="I293" t="n">
        <v>0</v>
      </c>
      <c r="J293" t="n">
        <v>0</v>
      </c>
      <c r="K293" t="n">
        <v>0</v>
      </c>
      <c r="L293" t="n">
        <v>0</v>
      </c>
      <c r="M293" t="n">
        <v>0</v>
      </c>
      <c r="N293" t="n">
        <v>0</v>
      </c>
      <c r="O293" t="n">
        <v>0</v>
      </c>
      <c r="P293" t="n">
        <v>0</v>
      </c>
      <c r="Q293" t="n">
        <v>0</v>
      </c>
      <c r="R293" s="2" t="inlineStr"/>
    </row>
    <row r="294" ht="15" customHeight="1">
      <c r="A294" t="inlineStr">
        <is>
          <t>A 57729-2022</t>
        </is>
      </c>
      <c r="B294" s="1" t="n">
        <v>44897</v>
      </c>
      <c r="C294" s="1" t="n">
        <v>46137</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4397-2026</t>
        </is>
      </c>
      <c r="B295" s="1" t="n">
        <v>46045.58430555555</v>
      </c>
      <c r="C295" s="1" t="n">
        <v>46137</v>
      </c>
      <c r="D295" t="inlineStr">
        <is>
          <t>DALARNAS LÄN</t>
        </is>
      </c>
      <c r="E295" t="inlineStr">
        <is>
          <t>GAGNEF</t>
        </is>
      </c>
      <c r="G295" t="n">
        <v>7.2</v>
      </c>
      <c r="H295" t="n">
        <v>0</v>
      </c>
      <c r="I295" t="n">
        <v>0</v>
      </c>
      <c r="J295" t="n">
        <v>0</v>
      </c>
      <c r="K295" t="n">
        <v>0</v>
      </c>
      <c r="L295" t="n">
        <v>0</v>
      </c>
      <c r="M295" t="n">
        <v>0</v>
      </c>
      <c r="N295" t="n">
        <v>0</v>
      </c>
      <c r="O295" t="n">
        <v>0</v>
      </c>
      <c r="P295" t="n">
        <v>0</v>
      </c>
      <c r="Q295" t="n">
        <v>0</v>
      </c>
      <c r="R295" s="2" t="inlineStr"/>
    </row>
    <row r="296" ht="15" customHeight="1">
      <c r="A296" t="inlineStr">
        <is>
          <t>A 4416-2026</t>
        </is>
      </c>
      <c r="B296" s="1" t="n">
        <v>46045.60434027778</v>
      </c>
      <c r="C296" s="1" t="n">
        <v>46137</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4105-2026</t>
        </is>
      </c>
      <c r="B297" s="1" t="n">
        <v>46044</v>
      </c>
      <c r="C297" s="1" t="n">
        <v>46137</v>
      </c>
      <c r="D297" t="inlineStr">
        <is>
          <t>DALARNAS LÄN</t>
        </is>
      </c>
      <c r="E297" t="inlineStr">
        <is>
          <t>GAGNEF</t>
        </is>
      </c>
      <c r="F297" t="inlineStr">
        <is>
          <t>Bergvik skog väst AB</t>
        </is>
      </c>
      <c r="G297" t="n">
        <v>5.5</v>
      </c>
      <c r="H297" t="n">
        <v>0</v>
      </c>
      <c r="I297" t="n">
        <v>0</v>
      </c>
      <c r="J297" t="n">
        <v>0</v>
      </c>
      <c r="K297" t="n">
        <v>0</v>
      </c>
      <c r="L297" t="n">
        <v>0</v>
      </c>
      <c r="M297" t="n">
        <v>0</v>
      </c>
      <c r="N297" t="n">
        <v>0</v>
      </c>
      <c r="O297" t="n">
        <v>0</v>
      </c>
      <c r="P297" t="n">
        <v>0</v>
      </c>
      <c r="Q297" t="n">
        <v>0</v>
      </c>
      <c r="R297" s="2" t="inlineStr"/>
    </row>
    <row r="298" ht="15" customHeight="1">
      <c r="A298" t="inlineStr">
        <is>
          <t>A 38444-2024</t>
        </is>
      </c>
      <c r="B298" s="1" t="n">
        <v>45546.42988425926</v>
      </c>
      <c r="C298" s="1" t="n">
        <v>46137</v>
      </c>
      <c r="D298" t="inlineStr">
        <is>
          <t>DALARNAS LÄN</t>
        </is>
      </c>
      <c r="E298" t="inlineStr">
        <is>
          <t>GAGNEF</t>
        </is>
      </c>
      <c r="F298" t="inlineStr">
        <is>
          <t>Bergvik skog väst AB</t>
        </is>
      </c>
      <c r="G298" t="n">
        <v>2.5</v>
      </c>
      <c r="H298" t="n">
        <v>0</v>
      </c>
      <c r="I298" t="n">
        <v>0</v>
      </c>
      <c r="J298" t="n">
        <v>0</v>
      </c>
      <c r="K298" t="n">
        <v>0</v>
      </c>
      <c r="L298" t="n">
        <v>0</v>
      </c>
      <c r="M298" t="n">
        <v>0</v>
      </c>
      <c r="N298" t="n">
        <v>0</v>
      </c>
      <c r="O298" t="n">
        <v>0</v>
      </c>
      <c r="P298" t="n">
        <v>0</v>
      </c>
      <c r="Q298" t="n">
        <v>0</v>
      </c>
      <c r="R298" s="2" t="inlineStr"/>
    </row>
    <row r="299" ht="15" customHeight="1">
      <c r="A299" t="inlineStr">
        <is>
          <t>A 4682-2026</t>
        </is>
      </c>
      <c r="B299" s="1" t="n">
        <v>46048.43288194444</v>
      </c>
      <c r="C299" s="1" t="n">
        <v>46137</v>
      </c>
      <c r="D299" t="inlineStr">
        <is>
          <t>DALARNAS LÄN</t>
        </is>
      </c>
      <c r="E299" t="inlineStr">
        <is>
          <t>GAGNEF</t>
        </is>
      </c>
      <c r="G299" t="n">
        <v>3.8</v>
      </c>
      <c r="H299" t="n">
        <v>0</v>
      </c>
      <c r="I299" t="n">
        <v>0</v>
      </c>
      <c r="J299" t="n">
        <v>0</v>
      </c>
      <c r="K299" t="n">
        <v>0</v>
      </c>
      <c r="L299" t="n">
        <v>0</v>
      </c>
      <c r="M299" t="n">
        <v>0</v>
      </c>
      <c r="N299" t="n">
        <v>0</v>
      </c>
      <c r="O299" t="n">
        <v>0</v>
      </c>
      <c r="P299" t="n">
        <v>0</v>
      </c>
      <c r="Q299" t="n">
        <v>0</v>
      </c>
      <c r="R299" s="2" t="inlineStr"/>
    </row>
    <row r="300" ht="15" customHeight="1">
      <c r="A300" t="inlineStr">
        <is>
          <t>A 4718-2026</t>
        </is>
      </c>
      <c r="B300" s="1" t="n">
        <v>46048.46645833334</v>
      </c>
      <c r="C300" s="1" t="n">
        <v>46137</v>
      </c>
      <c r="D300" t="inlineStr">
        <is>
          <t>DALARNAS LÄN</t>
        </is>
      </c>
      <c r="E300" t="inlineStr">
        <is>
          <t>GAGNEF</t>
        </is>
      </c>
      <c r="G300" t="n">
        <v>5.3</v>
      </c>
      <c r="H300" t="n">
        <v>0</v>
      </c>
      <c r="I300" t="n">
        <v>0</v>
      </c>
      <c r="J300" t="n">
        <v>0</v>
      </c>
      <c r="K300" t="n">
        <v>0</v>
      </c>
      <c r="L300" t="n">
        <v>0</v>
      </c>
      <c r="M300" t="n">
        <v>0</v>
      </c>
      <c r="N300" t="n">
        <v>0</v>
      </c>
      <c r="O300" t="n">
        <v>0</v>
      </c>
      <c r="P300" t="n">
        <v>0</v>
      </c>
      <c r="Q300" t="n">
        <v>0</v>
      </c>
      <c r="R300" s="2" t="inlineStr"/>
    </row>
    <row r="301" ht="15" customHeight="1">
      <c r="A301" t="inlineStr">
        <is>
          <t>A 4826-2026</t>
        </is>
      </c>
      <c r="B301" s="1" t="n">
        <v>46048.59686342593</v>
      </c>
      <c r="C301" s="1" t="n">
        <v>46137</v>
      </c>
      <c r="D301" t="inlineStr">
        <is>
          <t>DALARNAS LÄN</t>
        </is>
      </c>
      <c r="E301" t="inlineStr">
        <is>
          <t>GAGNEF</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4615-2026</t>
        </is>
      </c>
      <c r="B302" s="1" t="n">
        <v>46048.37015046296</v>
      </c>
      <c r="C302" s="1" t="n">
        <v>46137</v>
      </c>
      <c r="D302" t="inlineStr">
        <is>
          <t>DALARNAS LÄN</t>
        </is>
      </c>
      <c r="E302" t="inlineStr">
        <is>
          <t>GAGNEF</t>
        </is>
      </c>
      <c r="G302" t="n">
        <v>2.3</v>
      </c>
      <c r="H302" t="n">
        <v>0</v>
      </c>
      <c r="I302" t="n">
        <v>0</v>
      </c>
      <c r="J302" t="n">
        <v>0</v>
      </c>
      <c r="K302" t="n">
        <v>0</v>
      </c>
      <c r="L302" t="n">
        <v>0</v>
      </c>
      <c r="M302" t="n">
        <v>0</v>
      </c>
      <c r="N302" t="n">
        <v>0</v>
      </c>
      <c r="O302" t="n">
        <v>0</v>
      </c>
      <c r="P302" t="n">
        <v>0</v>
      </c>
      <c r="Q302" t="n">
        <v>0</v>
      </c>
      <c r="R302" s="2" t="inlineStr"/>
    </row>
    <row r="303" ht="15" customHeight="1">
      <c r="A303" t="inlineStr">
        <is>
          <t>A 4601-2026</t>
        </is>
      </c>
      <c r="B303" s="1" t="n">
        <v>46048</v>
      </c>
      <c r="C303" s="1" t="n">
        <v>46137</v>
      </c>
      <c r="D303" t="inlineStr">
        <is>
          <t>DALARNAS LÄN</t>
        </is>
      </c>
      <c r="E303" t="inlineStr">
        <is>
          <t>GAGNEF</t>
        </is>
      </c>
      <c r="F303" t="inlineStr">
        <is>
          <t>Bergvik skog väst AB</t>
        </is>
      </c>
      <c r="G303" t="n">
        <v>5.5</v>
      </c>
      <c r="H303" t="n">
        <v>0</v>
      </c>
      <c r="I303" t="n">
        <v>0</v>
      </c>
      <c r="J303" t="n">
        <v>0</v>
      </c>
      <c r="K303" t="n">
        <v>0</v>
      </c>
      <c r="L303" t="n">
        <v>0</v>
      </c>
      <c r="M303" t="n">
        <v>0</v>
      </c>
      <c r="N303" t="n">
        <v>0</v>
      </c>
      <c r="O303" t="n">
        <v>0</v>
      </c>
      <c r="P303" t="n">
        <v>0</v>
      </c>
      <c r="Q303" t="n">
        <v>0</v>
      </c>
      <c r="R303" s="2" t="inlineStr"/>
    </row>
    <row r="304" ht="15" customHeight="1">
      <c r="A304" t="inlineStr">
        <is>
          <t>A 60021-2023</t>
        </is>
      </c>
      <c r="B304" s="1" t="n">
        <v>45258</v>
      </c>
      <c r="C304" s="1" t="n">
        <v>46137</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4871-2026</t>
        </is>
      </c>
      <c r="B305" s="1" t="n">
        <v>46048.64840277778</v>
      </c>
      <c r="C305" s="1" t="n">
        <v>46137</v>
      </c>
      <c r="D305" t="inlineStr">
        <is>
          <t>DALARNAS LÄN</t>
        </is>
      </c>
      <c r="E305" t="inlineStr">
        <is>
          <t>GAGNEF</t>
        </is>
      </c>
      <c r="G305" t="n">
        <v>2.8</v>
      </c>
      <c r="H305" t="n">
        <v>0</v>
      </c>
      <c r="I305" t="n">
        <v>0</v>
      </c>
      <c r="J305" t="n">
        <v>0</v>
      </c>
      <c r="K305" t="n">
        <v>0</v>
      </c>
      <c r="L305" t="n">
        <v>0</v>
      </c>
      <c r="M305" t="n">
        <v>0</v>
      </c>
      <c r="N305" t="n">
        <v>0</v>
      </c>
      <c r="O305" t="n">
        <v>0</v>
      </c>
      <c r="P305" t="n">
        <v>0</v>
      </c>
      <c r="Q305" t="n">
        <v>0</v>
      </c>
      <c r="R305" s="2" t="inlineStr"/>
    </row>
    <row r="306" ht="15" customHeight="1">
      <c r="A306" t="inlineStr">
        <is>
          <t>A 4686-2026</t>
        </is>
      </c>
      <c r="B306" s="1" t="n">
        <v>46048.43784722222</v>
      </c>
      <c r="C306" s="1" t="n">
        <v>46137</v>
      </c>
      <c r="D306" t="inlineStr">
        <is>
          <t>DALARNAS LÄN</t>
        </is>
      </c>
      <c r="E306" t="inlineStr">
        <is>
          <t>GAGNEF</t>
        </is>
      </c>
      <c r="G306" t="n">
        <v>4</v>
      </c>
      <c r="H306" t="n">
        <v>0</v>
      </c>
      <c r="I306" t="n">
        <v>0</v>
      </c>
      <c r="J306" t="n">
        <v>0</v>
      </c>
      <c r="K306" t="n">
        <v>0</v>
      </c>
      <c r="L306" t="n">
        <v>0</v>
      </c>
      <c r="M306" t="n">
        <v>0</v>
      </c>
      <c r="N306" t="n">
        <v>0</v>
      </c>
      <c r="O306" t="n">
        <v>0</v>
      </c>
      <c r="P306" t="n">
        <v>0</v>
      </c>
      <c r="Q306" t="n">
        <v>0</v>
      </c>
      <c r="R306" s="2" t="inlineStr"/>
    </row>
    <row r="307" ht="15" customHeight="1">
      <c r="A307" t="inlineStr">
        <is>
          <t>A 5686-2026</t>
        </is>
      </c>
      <c r="B307" s="1" t="n">
        <v>46051.48701388889</v>
      </c>
      <c r="C307" s="1" t="n">
        <v>46137</v>
      </c>
      <c r="D307" t="inlineStr">
        <is>
          <t>DALARNAS LÄN</t>
        </is>
      </c>
      <c r="E307" t="inlineStr">
        <is>
          <t>GAGNEF</t>
        </is>
      </c>
      <c r="G307" t="n">
        <v>1</v>
      </c>
      <c r="H307" t="n">
        <v>0</v>
      </c>
      <c r="I307" t="n">
        <v>0</v>
      </c>
      <c r="J307" t="n">
        <v>0</v>
      </c>
      <c r="K307" t="n">
        <v>0</v>
      </c>
      <c r="L307" t="n">
        <v>0</v>
      </c>
      <c r="M307" t="n">
        <v>0</v>
      </c>
      <c r="N307" t="n">
        <v>0</v>
      </c>
      <c r="O307" t="n">
        <v>0</v>
      </c>
      <c r="P307" t="n">
        <v>0</v>
      </c>
      <c r="Q307" t="n">
        <v>0</v>
      </c>
      <c r="R307" s="2" t="inlineStr"/>
    </row>
    <row r="308" ht="15" customHeight="1">
      <c r="A308" t="inlineStr">
        <is>
          <t>A 5548-2026</t>
        </is>
      </c>
      <c r="B308" s="1" t="n">
        <v>46050.71394675926</v>
      </c>
      <c r="C308" s="1" t="n">
        <v>46137</v>
      </c>
      <c r="D308" t="inlineStr">
        <is>
          <t>DALARNAS LÄN</t>
        </is>
      </c>
      <c r="E308" t="inlineStr">
        <is>
          <t>GAGNEF</t>
        </is>
      </c>
      <c r="G308" t="n">
        <v>3</v>
      </c>
      <c r="H308" t="n">
        <v>0</v>
      </c>
      <c r="I308" t="n">
        <v>0</v>
      </c>
      <c r="J308" t="n">
        <v>0</v>
      </c>
      <c r="K308" t="n">
        <v>0</v>
      </c>
      <c r="L308" t="n">
        <v>0</v>
      </c>
      <c r="M308" t="n">
        <v>0</v>
      </c>
      <c r="N308" t="n">
        <v>0</v>
      </c>
      <c r="O308" t="n">
        <v>0</v>
      </c>
      <c r="P308" t="n">
        <v>0</v>
      </c>
      <c r="Q308" t="n">
        <v>0</v>
      </c>
      <c r="R308" s="2" t="inlineStr"/>
    </row>
    <row r="309" ht="15" customHeight="1">
      <c r="A309" t="inlineStr">
        <is>
          <t>A 17322-2024</t>
        </is>
      </c>
      <c r="B309" s="1" t="n">
        <v>45414.54059027778</v>
      </c>
      <c r="C309" s="1" t="n">
        <v>46137</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5256-2026</t>
        </is>
      </c>
      <c r="B310" s="1" t="n">
        <v>46050</v>
      </c>
      <c r="C310" s="1" t="n">
        <v>46137</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5682-2026</t>
        </is>
      </c>
      <c r="B311" s="1" t="n">
        <v>46051.48131944444</v>
      </c>
      <c r="C311" s="1" t="n">
        <v>46137</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46137</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2173-2024</t>
        </is>
      </c>
      <c r="B313" s="1" t="n">
        <v>45309.63329861111</v>
      </c>
      <c r="C313" s="1" t="n">
        <v>46137</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6303-2026</t>
        </is>
      </c>
      <c r="B314" s="1" t="n">
        <v>46055.56982638889</v>
      </c>
      <c r="C314" s="1" t="n">
        <v>46137</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60652-2023</t>
        </is>
      </c>
      <c r="B315" s="1" t="n">
        <v>45260</v>
      </c>
      <c r="C315" s="1" t="n">
        <v>46137</v>
      </c>
      <c r="D315" t="inlineStr">
        <is>
          <t>DALARNAS LÄN</t>
        </is>
      </c>
      <c r="E315" t="inlineStr">
        <is>
          <t>GAGNEF</t>
        </is>
      </c>
      <c r="G315" t="n">
        <v>3.4</v>
      </c>
      <c r="H315" t="n">
        <v>0</v>
      </c>
      <c r="I315" t="n">
        <v>0</v>
      </c>
      <c r="J315" t="n">
        <v>0</v>
      </c>
      <c r="K315" t="n">
        <v>0</v>
      </c>
      <c r="L315" t="n">
        <v>0</v>
      </c>
      <c r="M315" t="n">
        <v>0</v>
      </c>
      <c r="N315" t="n">
        <v>0</v>
      </c>
      <c r="O315" t="n">
        <v>0</v>
      </c>
      <c r="P315" t="n">
        <v>0</v>
      </c>
      <c r="Q315" t="n">
        <v>0</v>
      </c>
      <c r="R315" s="2" t="inlineStr"/>
    </row>
    <row r="316" ht="15" customHeight="1">
      <c r="A316" t="inlineStr">
        <is>
          <t>A 63952-2021</t>
        </is>
      </c>
      <c r="B316" s="1" t="n">
        <v>44509.76625</v>
      </c>
      <c r="C316" s="1" t="n">
        <v>46137</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2443-2024</t>
        </is>
      </c>
      <c r="B317" s="1" t="n">
        <v>45311</v>
      </c>
      <c r="C317" s="1" t="n">
        <v>46137</v>
      </c>
      <c r="D317" t="inlineStr">
        <is>
          <t>DALARNAS LÄN</t>
        </is>
      </c>
      <c r="E317" t="inlineStr">
        <is>
          <t>GAGNEF</t>
        </is>
      </c>
      <c r="G317" t="n">
        <v>1.4</v>
      </c>
      <c r="H317" t="n">
        <v>0</v>
      </c>
      <c r="I317" t="n">
        <v>0</v>
      </c>
      <c r="J317" t="n">
        <v>0</v>
      </c>
      <c r="K317" t="n">
        <v>0</v>
      </c>
      <c r="L317" t="n">
        <v>0</v>
      </c>
      <c r="M317" t="n">
        <v>0</v>
      </c>
      <c r="N317" t="n">
        <v>0</v>
      </c>
      <c r="O317" t="n">
        <v>0</v>
      </c>
      <c r="P317" t="n">
        <v>0</v>
      </c>
      <c r="Q317" t="n">
        <v>0</v>
      </c>
      <c r="R317" s="2" t="inlineStr"/>
    </row>
    <row r="318" ht="15" customHeight="1">
      <c r="A318" t="inlineStr">
        <is>
          <t>A 68330-2021</t>
        </is>
      </c>
      <c r="B318" s="1" t="n">
        <v>44527</v>
      </c>
      <c r="C318" s="1" t="n">
        <v>46137</v>
      </c>
      <c r="D318" t="inlineStr">
        <is>
          <t>DALARNAS LÄN</t>
        </is>
      </c>
      <c r="E318" t="inlineStr">
        <is>
          <t>GAGNEF</t>
        </is>
      </c>
      <c r="G318" t="n">
        <v>4.1</v>
      </c>
      <c r="H318" t="n">
        <v>0</v>
      </c>
      <c r="I318" t="n">
        <v>0</v>
      </c>
      <c r="J318" t="n">
        <v>0</v>
      </c>
      <c r="K318" t="n">
        <v>0</v>
      </c>
      <c r="L318" t="n">
        <v>0</v>
      </c>
      <c r="M318" t="n">
        <v>0</v>
      </c>
      <c r="N318" t="n">
        <v>0</v>
      </c>
      <c r="O318" t="n">
        <v>0</v>
      </c>
      <c r="P318" t="n">
        <v>0</v>
      </c>
      <c r="Q318" t="n">
        <v>0</v>
      </c>
      <c r="R318" s="2" t="inlineStr"/>
    </row>
    <row r="319" ht="15" customHeight="1">
      <c r="A319" t="inlineStr">
        <is>
          <t>A 19954-2025</t>
        </is>
      </c>
      <c r="B319" s="1" t="n">
        <v>45771.65960648148</v>
      </c>
      <c r="C319" s="1" t="n">
        <v>46137</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18412-2024</t>
        </is>
      </c>
      <c r="B320" s="1" t="n">
        <v>45425.37940972222</v>
      </c>
      <c r="C320" s="1" t="n">
        <v>46137</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37870-2022</t>
        </is>
      </c>
      <c r="B321" s="1" t="n">
        <v>44811.36627314815</v>
      </c>
      <c r="C321" s="1" t="n">
        <v>46137</v>
      </c>
      <c r="D321" t="inlineStr">
        <is>
          <t>DALARNAS LÄN</t>
        </is>
      </c>
      <c r="E321" t="inlineStr">
        <is>
          <t>GAGNEF</t>
        </is>
      </c>
      <c r="G321" t="n">
        <v>2.1</v>
      </c>
      <c r="H321" t="n">
        <v>0</v>
      </c>
      <c r="I321" t="n">
        <v>0</v>
      </c>
      <c r="J321" t="n">
        <v>0</v>
      </c>
      <c r="K321" t="n">
        <v>0</v>
      </c>
      <c r="L321" t="n">
        <v>0</v>
      </c>
      <c r="M321" t="n">
        <v>0</v>
      </c>
      <c r="N321" t="n">
        <v>0</v>
      </c>
      <c r="O321" t="n">
        <v>0</v>
      </c>
      <c r="P321" t="n">
        <v>0</v>
      </c>
      <c r="Q321" t="n">
        <v>0</v>
      </c>
      <c r="R321" s="2" t="inlineStr"/>
    </row>
    <row r="322" ht="15" customHeight="1">
      <c r="A322" t="inlineStr">
        <is>
          <t>A 42677-2024</t>
        </is>
      </c>
      <c r="B322" s="1" t="n">
        <v>45566.37476851852</v>
      </c>
      <c r="C322" s="1" t="n">
        <v>46137</v>
      </c>
      <c r="D322" t="inlineStr">
        <is>
          <t>DALARNAS LÄN</t>
        </is>
      </c>
      <c r="E322" t="inlineStr">
        <is>
          <t>GAGNEF</t>
        </is>
      </c>
      <c r="G322" t="n">
        <v>0.9</v>
      </c>
      <c r="H322" t="n">
        <v>0</v>
      </c>
      <c r="I322" t="n">
        <v>0</v>
      </c>
      <c r="J322" t="n">
        <v>0</v>
      </c>
      <c r="K322" t="n">
        <v>0</v>
      </c>
      <c r="L322" t="n">
        <v>0</v>
      </c>
      <c r="M322" t="n">
        <v>0</v>
      </c>
      <c r="N322" t="n">
        <v>0</v>
      </c>
      <c r="O322" t="n">
        <v>0</v>
      </c>
      <c r="P322" t="n">
        <v>0</v>
      </c>
      <c r="Q322" t="n">
        <v>0</v>
      </c>
      <c r="R322" s="2" t="inlineStr"/>
    </row>
    <row r="323" ht="15" customHeight="1">
      <c r="A323" t="inlineStr">
        <is>
          <t>A 39367-2023</t>
        </is>
      </c>
      <c r="B323" s="1" t="n">
        <v>45166</v>
      </c>
      <c r="C323" s="1" t="n">
        <v>46137</v>
      </c>
      <c r="D323" t="inlineStr">
        <is>
          <t>DALARNAS LÄN</t>
        </is>
      </c>
      <c r="E323" t="inlineStr">
        <is>
          <t>GAGNEF</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63648-2023</t>
        </is>
      </c>
      <c r="B324" s="1" t="n">
        <v>45275</v>
      </c>
      <c r="C324" s="1" t="n">
        <v>46137</v>
      </c>
      <c r="D324" t="inlineStr">
        <is>
          <t>DALARNAS LÄN</t>
        </is>
      </c>
      <c r="E324" t="inlineStr">
        <is>
          <t>GAGNEF</t>
        </is>
      </c>
      <c r="G324" t="n">
        <v>0.3</v>
      </c>
      <c r="H324" t="n">
        <v>0</v>
      </c>
      <c r="I324" t="n">
        <v>0</v>
      </c>
      <c r="J324" t="n">
        <v>0</v>
      </c>
      <c r="K324" t="n">
        <v>0</v>
      </c>
      <c r="L324" t="n">
        <v>0</v>
      </c>
      <c r="M324" t="n">
        <v>0</v>
      </c>
      <c r="N324" t="n">
        <v>0</v>
      </c>
      <c r="O324" t="n">
        <v>0</v>
      </c>
      <c r="P324" t="n">
        <v>0</v>
      </c>
      <c r="Q324" t="n">
        <v>0</v>
      </c>
      <c r="R324" s="2" t="inlineStr"/>
    </row>
    <row r="325" ht="15" customHeight="1">
      <c r="A325" t="inlineStr">
        <is>
          <t>A 52437-2024</t>
        </is>
      </c>
      <c r="B325" s="1" t="n">
        <v>45608</v>
      </c>
      <c r="C325" s="1" t="n">
        <v>46137</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35526-2024</t>
        </is>
      </c>
      <c r="B326" s="1" t="n">
        <v>45531.58143518519</v>
      </c>
      <c r="C326" s="1" t="n">
        <v>46137</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14015-2026</t>
        </is>
      </c>
      <c r="B327" s="1" t="n">
        <v>46098</v>
      </c>
      <c r="C327" s="1" t="n">
        <v>46137</v>
      </c>
      <c r="D327" t="inlineStr">
        <is>
          <t>DALARNAS LÄN</t>
        </is>
      </c>
      <c r="E327" t="inlineStr">
        <is>
          <t>GAGNEF</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46137</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15541-2026</t>
        </is>
      </c>
      <c r="B329" s="1" t="n">
        <v>46106.51527777778</v>
      </c>
      <c r="C329" s="1" t="n">
        <v>46137</v>
      </c>
      <c r="D329" t="inlineStr">
        <is>
          <t>DALARNAS LÄN</t>
        </is>
      </c>
      <c r="E329" t="inlineStr">
        <is>
          <t>GAGNEF</t>
        </is>
      </c>
      <c r="G329" t="n">
        <v>5.2</v>
      </c>
      <c r="H329" t="n">
        <v>0</v>
      </c>
      <c r="I329" t="n">
        <v>0</v>
      </c>
      <c r="J329" t="n">
        <v>0</v>
      </c>
      <c r="K329" t="n">
        <v>0</v>
      </c>
      <c r="L329" t="n">
        <v>0</v>
      </c>
      <c r="M329" t="n">
        <v>0</v>
      </c>
      <c r="N329" t="n">
        <v>0</v>
      </c>
      <c r="O329" t="n">
        <v>0</v>
      </c>
      <c r="P329" t="n">
        <v>0</v>
      </c>
      <c r="Q329" t="n">
        <v>0</v>
      </c>
      <c r="R329" s="2" t="inlineStr"/>
    </row>
    <row r="330" ht="15" customHeight="1">
      <c r="A330" t="inlineStr">
        <is>
          <t>A 15537-2026</t>
        </is>
      </c>
      <c r="B330" s="1" t="n">
        <v>46106.50893518519</v>
      </c>
      <c r="C330" s="1" t="n">
        <v>46137</v>
      </c>
      <c r="D330" t="inlineStr">
        <is>
          <t>DALARNAS LÄN</t>
        </is>
      </c>
      <c r="E330" t="inlineStr">
        <is>
          <t>GAGNEF</t>
        </is>
      </c>
      <c r="G330" t="n">
        <v>11.8</v>
      </c>
      <c r="H330" t="n">
        <v>0</v>
      </c>
      <c r="I330" t="n">
        <v>0</v>
      </c>
      <c r="J330" t="n">
        <v>0</v>
      </c>
      <c r="K330" t="n">
        <v>0</v>
      </c>
      <c r="L330" t="n">
        <v>0</v>
      </c>
      <c r="M330" t="n">
        <v>0</v>
      </c>
      <c r="N330" t="n">
        <v>0</v>
      </c>
      <c r="O330" t="n">
        <v>0</v>
      </c>
      <c r="P330" t="n">
        <v>0</v>
      </c>
      <c r="Q330" t="n">
        <v>0</v>
      </c>
      <c r="R330" s="2" t="inlineStr"/>
    </row>
    <row r="331" ht="15" customHeight="1">
      <c r="A331" t="inlineStr">
        <is>
          <t>A 18956-2025</t>
        </is>
      </c>
      <c r="B331" s="1" t="n">
        <v>45764.51827546296</v>
      </c>
      <c r="C331" s="1" t="n">
        <v>46137</v>
      </c>
      <c r="D331" t="inlineStr">
        <is>
          <t>DALARNAS LÄN</t>
        </is>
      </c>
      <c r="E331" t="inlineStr">
        <is>
          <t>GAGNEF</t>
        </is>
      </c>
      <c r="G331" t="n">
        <v>1.4</v>
      </c>
      <c r="H331" t="n">
        <v>0</v>
      </c>
      <c r="I331" t="n">
        <v>0</v>
      </c>
      <c r="J331" t="n">
        <v>0</v>
      </c>
      <c r="K331" t="n">
        <v>0</v>
      </c>
      <c r="L331" t="n">
        <v>0</v>
      </c>
      <c r="M331" t="n">
        <v>0</v>
      </c>
      <c r="N331" t="n">
        <v>0</v>
      </c>
      <c r="O331" t="n">
        <v>0</v>
      </c>
      <c r="P331" t="n">
        <v>0</v>
      </c>
      <c r="Q331" t="n">
        <v>0</v>
      </c>
      <c r="R331" s="2" t="inlineStr"/>
    </row>
    <row r="332" ht="15" customHeight="1">
      <c r="A332" t="inlineStr">
        <is>
          <t>A 16066-2025</t>
        </is>
      </c>
      <c r="B332" s="1" t="n">
        <v>45749.66427083333</v>
      </c>
      <c r="C332" s="1" t="n">
        <v>46137</v>
      </c>
      <c r="D332" t="inlineStr">
        <is>
          <t>DALARNAS LÄN</t>
        </is>
      </c>
      <c r="E332" t="inlineStr">
        <is>
          <t>GAGNEF</t>
        </is>
      </c>
      <c r="G332" t="n">
        <v>6.7</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46137</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15548-2026</t>
        </is>
      </c>
      <c r="B334" s="1" t="n">
        <v>46106.52621527778</v>
      </c>
      <c r="C334" s="1" t="n">
        <v>46137</v>
      </c>
      <c r="D334" t="inlineStr">
        <is>
          <t>DALARNAS LÄN</t>
        </is>
      </c>
      <c r="E334" t="inlineStr">
        <is>
          <t>GAGNEF</t>
        </is>
      </c>
      <c r="G334" t="n">
        <v>3.2</v>
      </c>
      <c r="H334" t="n">
        <v>0</v>
      </c>
      <c r="I334" t="n">
        <v>0</v>
      </c>
      <c r="J334" t="n">
        <v>0</v>
      </c>
      <c r="K334" t="n">
        <v>0</v>
      </c>
      <c r="L334" t="n">
        <v>0</v>
      </c>
      <c r="M334" t="n">
        <v>0</v>
      </c>
      <c r="N334" t="n">
        <v>0</v>
      </c>
      <c r="O334" t="n">
        <v>0</v>
      </c>
      <c r="P334" t="n">
        <v>0</v>
      </c>
      <c r="Q334" t="n">
        <v>0</v>
      </c>
      <c r="R334" s="2" t="inlineStr"/>
    </row>
    <row r="335" ht="15" customHeight="1">
      <c r="A335" t="inlineStr">
        <is>
          <t>A 56842-2024</t>
        </is>
      </c>
      <c r="B335" s="1" t="n">
        <v>45628.52410879629</v>
      </c>
      <c r="C335" s="1" t="n">
        <v>46137</v>
      </c>
      <c r="D335" t="inlineStr">
        <is>
          <t>DALARNAS LÄN</t>
        </is>
      </c>
      <c r="E335" t="inlineStr">
        <is>
          <t>GAGNEF</t>
        </is>
      </c>
      <c r="G335" t="n">
        <v>9.6</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46137</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2943-2026</t>
        </is>
      </c>
      <c r="B337" s="1" t="n">
        <v>46038.59100694444</v>
      </c>
      <c r="C337" s="1" t="n">
        <v>46137</v>
      </c>
      <c r="D337" t="inlineStr">
        <is>
          <t>DALARNAS LÄN</t>
        </is>
      </c>
      <c r="E337" t="inlineStr">
        <is>
          <t>GAGNEF</t>
        </is>
      </c>
      <c r="G337" t="n">
        <v>7.2</v>
      </c>
      <c r="H337" t="n">
        <v>0</v>
      </c>
      <c r="I337" t="n">
        <v>0</v>
      </c>
      <c r="J337" t="n">
        <v>0</v>
      </c>
      <c r="K337" t="n">
        <v>0</v>
      </c>
      <c r="L337" t="n">
        <v>0</v>
      </c>
      <c r="M337" t="n">
        <v>0</v>
      </c>
      <c r="N337" t="n">
        <v>0</v>
      </c>
      <c r="O337" t="n">
        <v>0</v>
      </c>
      <c r="P337" t="n">
        <v>0</v>
      </c>
      <c r="Q337" t="n">
        <v>0</v>
      </c>
      <c r="R337" s="2" t="inlineStr"/>
    </row>
    <row r="338" ht="15" customHeight="1">
      <c r="A338" t="inlineStr">
        <is>
          <t>A 4238-2026</t>
        </is>
      </c>
      <c r="B338" s="1" t="n">
        <v>46044</v>
      </c>
      <c r="C338" s="1" t="n">
        <v>46137</v>
      </c>
      <c r="D338" t="inlineStr">
        <is>
          <t>DALARNAS LÄN</t>
        </is>
      </c>
      <c r="E338" t="inlineStr">
        <is>
          <t>GAGNEF</t>
        </is>
      </c>
      <c r="G338" t="n">
        <v>1.5</v>
      </c>
      <c r="H338" t="n">
        <v>0</v>
      </c>
      <c r="I338" t="n">
        <v>0</v>
      </c>
      <c r="J338" t="n">
        <v>0</v>
      </c>
      <c r="K338" t="n">
        <v>0</v>
      </c>
      <c r="L338" t="n">
        <v>0</v>
      </c>
      <c r="M338" t="n">
        <v>0</v>
      </c>
      <c r="N338" t="n">
        <v>0</v>
      </c>
      <c r="O338" t="n">
        <v>0</v>
      </c>
      <c r="P338" t="n">
        <v>0</v>
      </c>
      <c r="Q338" t="n">
        <v>0</v>
      </c>
      <c r="R338" s="2" t="inlineStr"/>
    </row>
    <row r="339" ht="15" customHeight="1">
      <c r="A339" t="inlineStr">
        <is>
          <t>A 63325-2025</t>
        </is>
      </c>
      <c r="B339" s="1" t="n">
        <v>46010.63777777777</v>
      </c>
      <c r="C339" s="1" t="n">
        <v>46137</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15965-2023</t>
        </is>
      </c>
      <c r="B340" s="1" t="n">
        <v>45022.65944444444</v>
      </c>
      <c r="C340" s="1" t="n">
        <v>46137</v>
      </c>
      <c r="D340" t="inlineStr">
        <is>
          <t>DALARNAS LÄN</t>
        </is>
      </c>
      <c r="E340" t="inlineStr">
        <is>
          <t>GAGNEF</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36127-2024</t>
        </is>
      </c>
      <c r="B341" s="1" t="n">
        <v>45534.3334375</v>
      </c>
      <c r="C341" s="1" t="n">
        <v>46137</v>
      </c>
      <c r="D341" t="inlineStr">
        <is>
          <t>DALARNAS LÄN</t>
        </is>
      </c>
      <c r="E341" t="inlineStr">
        <is>
          <t>GAGNEF</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36132-2024</t>
        </is>
      </c>
      <c r="B342" s="1" t="n">
        <v>45534.34255787037</v>
      </c>
      <c r="C342" s="1" t="n">
        <v>46137</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1918-2025</t>
        </is>
      </c>
      <c r="B343" s="1" t="n">
        <v>45671.66840277778</v>
      </c>
      <c r="C343" s="1" t="n">
        <v>46137</v>
      </c>
      <c r="D343" t="inlineStr">
        <is>
          <t>DALARNAS LÄN</t>
        </is>
      </c>
      <c r="E343" t="inlineStr">
        <is>
          <t>GAGNEF</t>
        </is>
      </c>
      <c r="G343" t="n">
        <v>6.8</v>
      </c>
      <c r="H343" t="n">
        <v>0</v>
      </c>
      <c r="I343" t="n">
        <v>0</v>
      </c>
      <c r="J343" t="n">
        <v>0</v>
      </c>
      <c r="K343" t="n">
        <v>0</v>
      </c>
      <c r="L343" t="n">
        <v>0</v>
      </c>
      <c r="M343" t="n">
        <v>0</v>
      </c>
      <c r="N343" t="n">
        <v>0</v>
      </c>
      <c r="O343" t="n">
        <v>0</v>
      </c>
      <c r="P343" t="n">
        <v>0</v>
      </c>
      <c r="Q343" t="n">
        <v>0</v>
      </c>
      <c r="R343" s="2" t="inlineStr"/>
    </row>
    <row r="344" ht="15" customHeight="1">
      <c r="A344" t="inlineStr">
        <is>
          <t>A 491-2025</t>
        </is>
      </c>
      <c r="B344" s="1" t="n">
        <v>45664.46144675926</v>
      </c>
      <c r="C344" s="1" t="n">
        <v>46137</v>
      </c>
      <c r="D344" t="inlineStr">
        <is>
          <t>DALARNAS LÄN</t>
        </is>
      </c>
      <c r="E344" t="inlineStr">
        <is>
          <t>GAGNEF</t>
        </is>
      </c>
      <c r="F344" t="inlineStr">
        <is>
          <t>Övriga statliga verk och myndigheter</t>
        </is>
      </c>
      <c r="G344" t="n">
        <v>1.7</v>
      </c>
      <c r="H344" t="n">
        <v>0</v>
      </c>
      <c r="I344" t="n">
        <v>0</v>
      </c>
      <c r="J344" t="n">
        <v>0</v>
      </c>
      <c r="K344" t="n">
        <v>0</v>
      </c>
      <c r="L344" t="n">
        <v>0</v>
      </c>
      <c r="M344" t="n">
        <v>0</v>
      </c>
      <c r="N344" t="n">
        <v>0</v>
      </c>
      <c r="O344" t="n">
        <v>0</v>
      </c>
      <c r="P344" t="n">
        <v>0</v>
      </c>
      <c r="Q344" t="n">
        <v>0</v>
      </c>
      <c r="R344" s="2" t="inlineStr"/>
    </row>
    <row r="345" ht="15" customHeight="1">
      <c r="A345" t="inlineStr">
        <is>
          <t>A 708-2026</t>
        </is>
      </c>
      <c r="B345" s="1" t="n">
        <v>46029.6206712963</v>
      </c>
      <c r="C345" s="1" t="n">
        <v>46137</v>
      </c>
      <c r="D345" t="inlineStr">
        <is>
          <t>DALARNAS LÄN</t>
        </is>
      </c>
      <c r="E345" t="inlineStr">
        <is>
          <t>GAGNEF</t>
        </is>
      </c>
      <c r="G345" t="n">
        <v>1.8</v>
      </c>
      <c r="H345" t="n">
        <v>0</v>
      </c>
      <c r="I345" t="n">
        <v>0</v>
      </c>
      <c r="J345" t="n">
        <v>0</v>
      </c>
      <c r="K345" t="n">
        <v>0</v>
      </c>
      <c r="L345" t="n">
        <v>0</v>
      </c>
      <c r="M345" t="n">
        <v>0</v>
      </c>
      <c r="N345" t="n">
        <v>0</v>
      </c>
      <c r="O345" t="n">
        <v>0</v>
      </c>
      <c r="P345" t="n">
        <v>0</v>
      </c>
      <c r="Q345" t="n">
        <v>0</v>
      </c>
      <c r="R345" s="2" t="inlineStr"/>
    </row>
    <row r="346" ht="15" customHeight="1">
      <c r="A346" t="inlineStr">
        <is>
          <t>A 2924-2026</t>
        </is>
      </c>
      <c r="B346" s="1" t="n">
        <v>46038.58</v>
      </c>
      <c r="C346" s="1" t="n">
        <v>46137</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63084-2025</t>
        </is>
      </c>
      <c r="B347" s="1" t="n">
        <v>46009.6719212963</v>
      </c>
      <c r="C347" s="1" t="n">
        <v>46137</v>
      </c>
      <c r="D347" t="inlineStr">
        <is>
          <t>DALARNAS LÄN</t>
        </is>
      </c>
      <c r="E347" t="inlineStr">
        <is>
          <t>GAGNEF</t>
        </is>
      </c>
      <c r="F347" t="inlineStr">
        <is>
          <t>Kyrkan</t>
        </is>
      </c>
      <c r="G347" t="n">
        <v>3.6</v>
      </c>
      <c r="H347" t="n">
        <v>0</v>
      </c>
      <c r="I347" t="n">
        <v>0</v>
      </c>
      <c r="J347" t="n">
        <v>0</v>
      </c>
      <c r="K347" t="n">
        <v>0</v>
      </c>
      <c r="L347" t="n">
        <v>0</v>
      </c>
      <c r="M347" t="n">
        <v>0</v>
      </c>
      <c r="N347" t="n">
        <v>0</v>
      </c>
      <c r="O347" t="n">
        <v>0</v>
      </c>
      <c r="P347" t="n">
        <v>0</v>
      </c>
      <c r="Q347" t="n">
        <v>0</v>
      </c>
      <c r="R347" s="2" t="inlineStr"/>
    </row>
    <row r="348" ht="15" customHeight="1">
      <c r="A348" t="inlineStr">
        <is>
          <t>A 36891-2024</t>
        </is>
      </c>
      <c r="B348" s="1" t="n">
        <v>45538.61</v>
      </c>
      <c r="C348" s="1" t="n">
        <v>46137</v>
      </c>
      <c r="D348" t="inlineStr">
        <is>
          <t>DALARNAS LÄN</t>
        </is>
      </c>
      <c r="E348" t="inlineStr">
        <is>
          <t>GAGNEF</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54018-2025</t>
        </is>
      </c>
      <c r="B349" s="1" t="n">
        <v>45961</v>
      </c>
      <c r="C349" s="1" t="n">
        <v>46137</v>
      </c>
      <c r="D349" t="inlineStr">
        <is>
          <t>DALARNAS LÄN</t>
        </is>
      </c>
      <c r="E349" t="inlineStr">
        <is>
          <t>GAGNEF</t>
        </is>
      </c>
      <c r="G349" t="n">
        <v>5.1</v>
      </c>
      <c r="H349" t="n">
        <v>0</v>
      </c>
      <c r="I349" t="n">
        <v>0</v>
      </c>
      <c r="J349" t="n">
        <v>0</v>
      </c>
      <c r="K349" t="n">
        <v>0</v>
      </c>
      <c r="L349" t="n">
        <v>0</v>
      </c>
      <c r="M349" t="n">
        <v>0</v>
      </c>
      <c r="N349" t="n">
        <v>0</v>
      </c>
      <c r="O349" t="n">
        <v>0</v>
      </c>
      <c r="P349" t="n">
        <v>0</v>
      </c>
      <c r="Q349" t="n">
        <v>0</v>
      </c>
      <c r="R349" s="2" t="inlineStr"/>
    </row>
    <row r="350" ht="15" customHeight="1">
      <c r="A350" t="inlineStr">
        <is>
          <t>A 2916-2026</t>
        </is>
      </c>
      <c r="B350" s="1" t="n">
        <v>46038.56959490741</v>
      </c>
      <c r="C350" s="1" t="n">
        <v>46137</v>
      </c>
      <c r="D350" t="inlineStr">
        <is>
          <t>DALARNAS LÄN</t>
        </is>
      </c>
      <c r="E350" t="inlineStr">
        <is>
          <t>GAGNEF</t>
        </is>
      </c>
      <c r="G350" t="n">
        <v>1.4</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46137</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66613-2021</t>
        </is>
      </c>
      <c r="B352" s="1" t="n">
        <v>44519</v>
      </c>
      <c r="C352" s="1" t="n">
        <v>46137</v>
      </c>
      <c r="D352" t="inlineStr">
        <is>
          <t>DALARNAS LÄN</t>
        </is>
      </c>
      <c r="E352" t="inlineStr">
        <is>
          <t>GAGNEF</t>
        </is>
      </c>
      <c r="G352" t="n">
        <v>0.2</v>
      </c>
      <c r="H352" t="n">
        <v>0</v>
      </c>
      <c r="I352" t="n">
        <v>0</v>
      </c>
      <c r="J352" t="n">
        <v>0</v>
      </c>
      <c r="K352" t="n">
        <v>0</v>
      </c>
      <c r="L352" t="n">
        <v>0</v>
      </c>
      <c r="M352" t="n">
        <v>0</v>
      </c>
      <c r="N352" t="n">
        <v>0</v>
      </c>
      <c r="O352" t="n">
        <v>0</v>
      </c>
      <c r="P352" t="n">
        <v>0</v>
      </c>
      <c r="Q352" t="n">
        <v>0</v>
      </c>
      <c r="R352" s="2" t="inlineStr"/>
    </row>
    <row r="353" ht="15" customHeight="1">
      <c r="A353" t="inlineStr">
        <is>
          <t>A 326-2024</t>
        </is>
      </c>
      <c r="B353" s="1" t="n">
        <v>45295</v>
      </c>
      <c r="C353" s="1" t="n">
        <v>46137</v>
      </c>
      <c r="D353" t="inlineStr">
        <is>
          <t>DALARNAS LÄN</t>
        </is>
      </c>
      <c r="E353" t="inlineStr">
        <is>
          <t>GAGNEF</t>
        </is>
      </c>
      <c r="G353" t="n">
        <v>9.4</v>
      </c>
      <c r="H353" t="n">
        <v>0</v>
      </c>
      <c r="I353" t="n">
        <v>0</v>
      </c>
      <c r="J353" t="n">
        <v>0</v>
      </c>
      <c r="K353" t="n">
        <v>0</v>
      </c>
      <c r="L353" t="n">
        <v>0</v>
      </c>
      <c r="M353" t="n">
        <v>0</v>
      </c>
      <c r="N353" t="n">
        <v>0</v>
      </c>
      <c r="O353" t="n">
        <v>0</v>
      </c>
      <c r="P353" t="n">
        <v>0</v>
      </c>
      <c r="Q353" t="n">
        <v>0</v>
      </c>
      <c r="R353" s="2" t="inlineStr"/>
    </row>
    <row r="354" ht="15" customHeight="1">
      <c r="A354" t="inlineStr">
        <is>
          <t>A 57134-2022</t>
        </is>
      </c>
      <c r="B354" s="1" t="n">
        <v>44895</v>
      </c>
      <c r="C354" s="1" t="n">
        <v>46137</v>
      </c>
      <c r="D354" t="inlineStr">
        <is>
          <t>DALARNAS LÄN</t>
        </is>
      </c>
      <c r="E354" t="inlineStr">
        <is>
          <t>GAGNEF</t>
        </is>
      </c>
      <c r="G354" t="n">
        <v>3.5</v>
      </c>
      <c r="H354" t="n">
        <v>0</v>
      </c>
      <c r="I354" t="n">
        <v>0</v>
      </c>
      <c r="J354" t="n">
        <v>0</v>
      </c>
      <c r="K354" t="n">
        <v>0</v>
      </c>
      <c r="L354" t="n">
        <v>0</v>
      </c>
      <c r="M354" t="n">
        <v>0</v>
      </c>
      <c r="N354" t="n">
        <v>0</v>
      </c>
      <c r="O354" t="n">
        <v>0</v>
      </c>
      <c r="P354" t="n">
        <v>0</v>
      </c>
      <c r="Q354" t="n">
        <v>0</v>
      </c>
      <c r="R354" s="2" t="inlineStr"/>
    </row>
    <row r="355" ht="15" customHeight="1">
      <c r="A355" t="inlineStr">
        <is>
          <t>A 9203-2026</t>
        </is>
      </c>
      <c r="B355" s="1" t="n">
        <v>46070.4134837963</v>
      </c>
      <c r="C355" s="1" t="n">
        <v>46137</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6072-2026</t>
        </is>
      </c>
      <c r="B356" s="1" t="n">
        <v>46052</v>
      </c>
      <c r="C356" s="1" t="n">
        <v>46137</v>
      </c>
      <c r="D356" t="inlineStr">
        <is>
          <t>DALARNAS LÄN</t>
        </is>
      </c>
      <c r="E356" t="inlineStr">
        <is>
          <t>GAGNEF</t>
        </is>
      </c>
      <c r="G356" t="n">
        <v>7.4</v>
      </c>
      <c r="H356" t="n">
        <v>0</v>
      </c>
      <c r="I356" t="n">
        <v>0</v>
      </c>
      <c r="J356" t="n">
        <v>0</v>
      </c>
      <c r="K356" t="n">
        <v>0</v>
      </c>
      <c r="L356" t="n">
        <v>0</v>
      </c>
      <c r="M356" t="n">
        <v>0</v>
      </c>
      <c r="N356" t="n">
        <v>0</v>
      </c>
      <c r="O356" t="n">
        <v>0</v>
      </c>
      <c r="P356" t="n">
        <v>0</v>
      </c>
      <c r="Q356" t="n">
        <v>0</v>
      </c>
      <c r="R356" s="2" t="inlineStr"/>
    </row>
    <row r="357" ht="15" customHeight="1">
      <c r="A357" t="inlineStr">
        <is>
          <t>A 16174-2023</t>
        </is>
      </c>
      <c r="B357" s="1" t="n">
        <v>45027</v>
      </c>
      <c r="C357" s="1" t="n">
        <v>46137</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52426-2024</t>
        </is>
      </c>
      <c r="B358" s="1" t="n">
        <v>45608</v>
      </c>
      <c r="C358" s="1" t="n">
        <v>46137</v>
      </c>
      <c r="D358" t="inlineStr">
        <is>
          <t>DALARNAS LÄN</t>
        </is>
      </c>
      <c r="E358" t="inlineStr">
        <is>
          <t>GAGNEF</t>
        </is>
      </c>
      <c r="G358" t="n">
        <v>2</v>
      </c>
      <c r="H358" t="n">
        <v>0</v>
      </c>
      <c r="I358" t="n">
        <v>0</v>
      </c>
      <c r="J358" t="n">
        <v>0</v>
      </c>
      <c r="K358" t="n">
        <v>0</v>
      </c>
      <c r="L358" t="n">
        <v>0</v>
      </c>
      <c r="M358" t="n">
        <v>0</v>
      </c>
      <c r="N358" t="n">
        <v>0</v>
      </c>
      <c r="O358" t="n">
        <v>0</v>
      </c>
      <c r="P358" t="n">
        <v>0</v>
      </c>
      <c r="Q358" t="n">
        <v>0</v>
      </c>
      <c r="R358" s="2" t="inlineStr"/>
    </row>
    <row r="359" ht="15" customHeight="1">
      <c r="A359" t="inlineStr">
        <is>
          <t>A 9956-2026</t>
        </is>
      </c>
      <c r="B359" s="1" t="n">
        <v>46073</v>
      </c>
      <c r="C359" s="1" t="n">
        <v>46137</v>
      </c>
      <c r="D359" t="inlineStr">
        <is>
          <t>DALARNAS LÄN</t>
        </is>
      </c>
      <c r="E359" t="inlineStr">
        <is>
          <t>GAGNEF</t>
        </is>
      </c>
      <c r="G359" t="n">
        <v>4.6</v>
      </c>
      <c r="H359" t="n">
        <v>0</v>
      </c>
      <c r="I359" t="n">
        <v>0</v>
      </c>
      <c r="J359" t="n">
        <v>0</v>
      </c>
      <c r="K359" t="n">
        <v>0</v>
      </c>
      <c r="L359" t="n">
        <v>0</v>
      </c>
      <c r="M359" t="n">
        <v>0</v>
      </c>
      <c r="N359" t="n">
        <v>0</v>
      </c>
      <c r="O359" t="n">
        <v>0</v>
      </c>
      <c r="P359" t="n">
        <v>0</v>
      </c>
      <c r="Q359" t="n">
        <v>0</v>
      </c>
      <c r="R359" s="2" t="inlineStr"/>
    </row>
    <row r="360" ht="15" customHeight="1">
      <c r="A360" t="inlineStr">
        <is>
          <t>A 9954-2026</t>
        </is>
      </c>
      <c r="B360" s="1" t="n">
        <v>46073</v>
      </c>
      <c r="C360" s="1" t="n">
        <v>46137</v>
      </c>
      <c r="D360" t="inlineStr">
        <is>
          <t>DALARNAS LÄN</t>
        </is>
      </c>
      <c r="E360" t="inlineStr">
        <is>
          <t>GAGNEF</t>
        </is>
      </c>
      <c r="G360" t="n">
        <v>2.1</v>
      </c>
      <c r="H360" t="n">
        <v>0</v>
      </c>
      <c r="I360" t="n">
        <v>0</v>
      </c>
      <c r="J360" t="n">
        <v>0</v>
      </c>
      <c r="K360" t="n">
        <v>0</v>
      </c>
      <c r="L360" t="n">
        <v>0</v>
      </c>
      <c r="M360" t="n">
        <v>0</v>
      </c>
      <c r="N360" t="n">
        <v>0</v>
      </c>
      <c r="O360" t="n">
        <v>0</v>
      </c>
      <c r="P360" t="n">
        <v>0</v>
      </c>
      <c r="Q360" t="n">
        <v>0</v>
      </c>
      <c r="R360" s="2" t="inlineStr"/>
    </row>
    <row r="361" ht="15" customHeight="1">
      <c r="A361" t="inlineStr">
        <is>
          <t>A 19046-2025</t>
        </is>
      </c>
      <c r="B361" s="1" t="n">
        <v>45764.76855324074</v>
      </c>
      <c r="C361" s="1" t="n">
        <v>46137</v>
      </c>
      <c r="D361" t="inlineStr">
        <is>
          <t>DALARNAS LÄN</t>
        </is>
      </c>
      <c r="E361" t="inlineStr">
        <is>
          <t>GAGNEF</t>
        </is>
      </c>
      <c r="G361" t="n">
        <v>20.4</v>
      </c>
      <c r="H361" t="n">
        <v>0</v>
      </c>
      <c r="I361" t="n">
        <v>0</v>
      </c>
      <c r="J361" t="n">
        <v>0</v>
      </c>
      <c r="K361" t="n">
        <v>0</v>
      </c>
      <c r="L361" t="n">
        <v>0</v>
      </c>
      <c r="M361" t="n">
        <v>0</v>
      </c>
      <c r="N361" t="n">
        <v>0</v>
      </c>
      <c r="O361" t="n">
        <v>0</v>
      </c>
      <c r="P361" t="n">
        <v>0</v>
      </c>
      <c r="Q361" t="n">
        <v>0</v>
      </c>
      <c r="R361" s="2" t="inlineStr"/>
    </row>
    <row r="362" ht="15" customHeight="1">
      <c r="A362" t="inlineStr">
        <is>
          <t>A 23489-2024</t>
        </is>
      </c>
      <c r="B362" s="1" t="n">
        <v>45453.68108796296</v>
      </c>
      <c r="C362" s="1" t="n">
        <v>46137</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10491-2026</t>
        </is>
      </c>
      <c r="B363" s="1" t="n">
        <v>46076</v>
      </c>
      <c r="C363" s="1" t="n">
        <v>46137</v>
      </c>
      <c r="D363" t="inlineStr">
        <is>
          <t>DALARNAS LÄN</t>
        </is>
      </c>
      <c r="E363" t="inlineStr">
        <is>
          <t>GAGNEF</t>
        </is>
      </c>
      <c r="G363" t="n">
        <v>9.1</v>
      </c>
      <c r="H363" t="n">
        <v>0</v>
      </c>
      <c r="I363" t="n">
        <v>0</v>
      </c>
      <c r="J363" t="n">
        <v>0</v>
      </c>
      <c r="K363" t="n">
        <v>0</v>
      </c>
      <c r="L363" t="n">
        <v>0</v>
      </c>
      <c r="M363" t="n">
        <v>0</v>
      </c>
      <c r="N363" t="n">
        <v>0</v>
      </c>
      <c r="O363" t="n">
        <v>0</v>
      </c>
      <c r="P363" t="n">
        <v>0</v>
      </c>
      <c r="Q363" t="n">
        <v>0</v>
      </c>
      <c r="R363" s="2" t="inlineStr"/>
    </row>
    <row r="364" ht="15" customHeight="1">
      <c r="A364" t="inlineStr">
        <is>
          <t>A 8970-2026</t>
        </is>
      </c>
      <c r="B364" s="1" t="n">
        <v>46069</v>
      </c>
      <c r="C364" s="1" t="n">
        <v>46137</v>
      </c>
      <c r="D364" t="inlineStr">
        <is>
          <t>DALARNAS LÄN</t>
        </is>
      </c>
      <c r="E364" t="inlineStr">
        <is>
          <t>GAGNEF</t>
        </is>
      </c>
      <c r="G364" t="n">
        <v>2.6</v>
      </c>
      <c r="H364" t="n">
        <v>0</v>
      </c>
      <c r="I364" t="n">
        <v>0</v>
      </c>
      <c r="J364" t="n">
        <v>0</v>
      </c>
      <c r="K364" t="n">
        <v>0</v>
      </c>
      <c r="L364" t="n">
        <v>0</v>
      </c>
      <c r="M364" t="n">
        <v>0</v>
      </c>
      <c r="N364" t="n">
        <v>0</v>
      </c>
      <c r="O364" t="n">
        <v>0</v>
      </c>
      <c r="P364" t="n">
        <v>0</v>
      </c>
      <c r="Q364" t="n">
        <v>0</v>
      </c>
      <c r="R364" s="2" t="inlineStr"/>
    </row>
    <row r="365" ht="15" customHeight="1">
      <c r="A365" t="inlineStr">
        <is>
          <t>A 10328-2026</t>
        </is>
      </c>
      <c r="B365" s="1" t="n">
        <v>46076.66283564815</v>
      </c>
      <c r="C365" s="1" t="n">
        <v>46137</v>
      </c>
      <c r="D365" t="inlineStr">
        <is>
          <t>DALARNAS LÄN</t>
        </is>
      </c>
      <c r="E365" t="inlineStr">
        <is>
          <t>GAGNEF</t>
        </is>
      </c>
      <c r="G365" t="n">
        <v>0.8</v>
      </c>
      <c r="H365" t="n">
        <v>0</v>
      </c>
      <c r="I365" t="n">
        <v>0</v>
      </c>
      <c r="J365" t="n">
        <v>0</v>
      </c>
      <c r="K365" t="n">
        <v>0</v>
      </c>
      <c r="L365" t="n">
        <v>0</v>
      </c>
      <c r="M365" t="n">
        <v>0</v>
      </c>
      <c r="N365" t="n">
        <v>0</v>
      </c>
      <c r="O365" t="n">
        <v>0</v>
      </c>
      <c r="P365" t="n">
        <v>0</v>
      </c>
      <c r="Q365" t="n">
        <v>0</v>
      </c>
      <c r="R365" s="2" t="inlineStr"/>
    </row>
    <row r="366" ht="15" customHeight="1">
      <c r="A366" t="inlineStr">
        <is>
          <t>A 17219-2026</t>
        </is>
      </c>
      <c r="B366" s="1" t="n">
        <v>46119.37150462963</v>
      </c>
      <c r="C366" s="1" t="n">
        <v>46137</v>
      </c>
      <c r="D366" t="inlineStr">
        <is>
          <t>DALARNAS LÄN</t>
        </is>
      </c>
      <c r="E366" t="inlineStr">
        <is>
          <t>GAGNEF</t>
        </is>
      </c>
      <c r="G366" t="n">
        <v>4.3</v>
      </c>
      <c r="H366" t="n">
        <v>0</v>
      </c>
      <c r="I366" t="n">
        <v>0</v>
      </c>
      <c r="J366" t="n">
        <v>0</v>
      </c>
      <c r="K366" t="n">
        <v>0</v>
      </c>
      <c r="L366" t="n">
        <v>0</v>
      </c>
      <c r="M366" t="n">
        <v>0</v>
      </c>
      <c r="N366" t="n">
        <v>0</v>
      </c>
      <c r="O366" t="n">
        <v>0</v>
      </c>
      <c r="P366" t="n">
        <v>0</v>
      </c>
      <c r="Q366" t="n">
        <v>0</v>
      </c>
      <c r="R366" s="2" t="inlineStr"/>
    </row>
    <row r="367" ht="15" customHeight="1">
      <c r="A367" t="inlineStr">
        <is>
          <t>A 10887-2026</t>
        </is>
      </c>
      <c r="B367" s="1" t="n">
        <v>46078</v>
      </c>
      <c r="C367" s="1" t="n">
        <v>46137</v>
      </c>
      <c r="D367" t="inlineStr">
        <is>
          <t>DALARNAS LÄN</t>
        </is>
      </c>
      <c r="E367" t="inlineStr">
        <is>
          <t>GAGNEF</t>
        </is>
      </c>
      <c r="G367" t="n">
        <v>12.2</v>
      </c>
      <c r="H367" t="n">
        <v>0</v>
      </c>
      <c r="I367" t="n">
        <v>0</v>
      </c>
      <c r="J367" t="n">
        <v>0</v>
      </c>
      <c r="K367" t="n">
        <v>0</v>
      </c>
      <c r="L367" t="n">
        <v>0</v>
      </c>
      <c r="M367" t="n">
        <v>0</v>
      </c>
      <c r="N367" t="n">
        <v>0</v>
      </c>
      <c r="O367" t="n">
        <v>0</v>
      </c>
      <c r="P367" t="n">
        <v>0</v>
      </c>
      <c r="Q367" t="n">
        <v>0</v>
      </c>
      <c r="R367" s="2" t="inlineStr"/>
    </row>
    <row r="368" ht="15" customHeight="1">
      <c r="A368" t="inlineStr">
        <is>
          <t>A 2505-2024</t>
        </is>
      </c>
      <c r="B368" s="1" t="n">
        <v>45313</v>
      </c>
      <c r="C368" s="1" t="n">
        <v>46137</v>
      </c>
      <c r="D368" t="inlineStr">
        <is>
          <t>DALARNAS LÄN</t>
        </is>
      </c>
      <c r="E368" t="inlineStr">
        <is>
          <t>GAGNEF</t>
        </is>
      </c>
      <c r="G368" t="n">
        <v>5.1</v>
      </c>
      <c r="H368" t="n">
        <v>0</v>
      </c>
      <c r="I368" t="n">
        <v>0</v>
      </c>
      <c r="J368" t="n">
        <v>0</v>
      </c>
      <c r="K368" t="n">
        <v>0</v>
      </c>
      <c r="L368" t="n">
        <v>0</v>
      </c>
      <c r="M368" t="n">
        <v>0</v>
      </c>
      <c r="N368" t="n">
        <v>0</v>
      </c>
      <c r="O368" t="n">
        <v>0</v>
      </c>
      <c r="P368" t="n">
        <v>0</v>
      </c>
      <c r="Q368" t="n">
        <v>0</v>
      </c>
      <c r="R368" s="2" t="inlineStr"/>
    </row>
    <row r="369" ht="15" customHeight="1">
      <c r="A369" t="inlineStr">
        <is>
          <t>A 44040-2024</t>
        </is>
      </c>
      <c r="B369" s="1" t="n">
        <v>45572.58497685185</v>
      </c>
      <c r="C369" s="1" t="n">
        <v>46137</v>
      </c>
      <c r="D369" t="inlineStr">
        <is>
          <t>DALARNAS LÄN</t>
        </is>
      </c>
      <c r="E369" t="inlineStr">
        <is>
          <t>GAGNEF</t>
        </is>
      </c>
      <c r="G369" t="n">
        <v>5.1</v>
      </c>
      <c r="H369" t="n">
        <v>0</v>
      </c>
      <c r="I369" t="n">
        <v>0</v>
      </c>
      <c r="J369" t="n">
        <v>0</v>
      </c>
      <c r="K369" t="n">
        <v>0</v>
      </c>
      <c r="L369" t="n">
        <v>0</v>
      </c>
      <c r="M369" t="n">
        <v>0</v>
      </c>
      <c r="N369" t="n">
        <v>0</v>
      </c>
      <c r="O369" t="n">
        <v>0</v>
      </c>
      <c r="P369" t="n">
        <v>0</v>
      </c>
      <c r="Q369" t="n">
        <v>0</v>
      </c>
      <c r="R369" s="2" t="inlineStr"/>
    </row>
    <row r="370" ht="15" customHeight="1">
      <c r="A370" t="inlineStr">
        <is>
          <t>A 17732-2026</t>
        </is>
      </c>
      <c r="B370" s="1" t="n">
        <v>46121.900625</v>
      </c>
      <c r="C370" s="1" t="n">
        <v>46137</v>
      </c>
      <c r="D370" t="inlineStr">
        <is>
          <t>DALARNAS LÄN</t>
        </is>
      </c>
      <c r="E370" t="inlineStr">
        <is>
          <t>GAGNEF</t>
        </is>
      </c>
      <c r="G370" t="n">
        <v>1</v>
      </c>
      <c r="H370" t="n">
        <v>0</v>
      </c>
      <c r="I370" t="n">
        <v>0</v>
      </c>
      <c r="J370" t="n">
        <v>0</v>
      </c>
      <c r="K370" t="n">
        <v>0</v>
      </c>
      <c r="L370" t="n">
        <v>0</v>
      </c>
      <c r="M370" t="n">
        <v>0</v>
      </c>
      <c r="N370" t="n">
        <v>0</v>
      </c>
      <c r="O370" t="n">
        <v>0</v>
      </c>
      <c r="P370" t="n">
        <v>0</v>
      </c>
      <c r="Q370" t="n">
        <v>0</v>
      </c>
      <c r="R370" s="2" t="inlineStr"/>
    </row>
    <row r="371" ht="15" customHeight="1">
      <c r="A371" t="inlineStr">
        <is>
          <t>A 17790-2026</t>
        </is>
      </c>
      <c r="B371" s="1" t="n">
        <v>46122.38435185186</v>
      </c>
      <c r="C371" s="1" t="n">
        <v>46137</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11311-2026</t>
        </is>
      </c>
      <c r="B372" s="1" t="n">
        <v>46080</v>
      </c>
      <c r="C372" s="1" t="n">
        <v>46137</v>
      </c>
      <c r="D372" t="inlineStr">
        <is>
          <t>DALARNAS LÄN</t>
        </is>
      </c>
      <c r="E372" t="inlineStr">
        <is>
          <t>GAGNEF</t>
        </is>
      </c>
      <c r="G372" t="n">
        <v>3.9</v>
      </c>
      <c r="H372" t="n">
        <v>0</v>
      </c>
      <c r="I372" t="n">
        <v>0</v>
      </c>
      <c r="J372" t="n">
        <v>0</v>
      </c>
      <c r="K372" t="n">
        <v>0</v>
      </c>
      <c r="L372" t="n">
        <v>0</v>
      </c>
      <c r="M372" t="n">
        <v>0</v>
      </c>
      <c r="N372" t="n">
        <v>0</v>
      </c>
      <c r="O372" t="n">
        <v>0</v>
      </c>
      <c r="P372" t="n">
        <v>0</v>
      </c>
      <c r="Q372" t="n">
        <v>0</v>
      </c>
      <c r="R372" s="2" t="inlineStr"/>
    </row>
    <row r="373" ht="15" customHeight="1">
      <c r="A373" t="inlineStr">
        <is>
          <t>A 45521-2024</t>
        </is>
      </c>
      <c r="B373" s="1" t="n">
        <v>45578.71738425926</v>
      </c>
      <c r="C373" s="1" t="n">
        <v>46137</v>
      </c>
      <c r="D373" t="inlineStr">
        <is>
          <t>DALARNAS LÄN</t>
        </is>
      </c>
      <c r="E373" t="inlineStr">
        <is>
          <t>GAGNEF</t>
        </is>
      </c>
      <c r="G373" t="n">
        <v>1.7</v>
      </c>
      <c r="H373" t="n">
        <v>0</v>
      </c>
      <c r="I373" t="n">
        <v>0</v>
      </c>
      <c r="J373" t="n">
        <v>0</v>
      </c>
      <c r="K373" t="n">
        <v>0</v>
      </c>
      <c r="L373" t="n">
        <v>0</v>
      </c>
      <c r="M373" t="n">
        <v>0</v>
      </c>
      <c r="N373" t="n">
        <v>0</v>
      </c>
      <c r="O373" t="n">
        <v>0</v>
      </c>
      <c r="P373" t="n">
        <v>0</v>
      </c>
      <c r="Q373" t="n">
        <v>0</v>
      </c>
      <c r="R373" s="2" t="inlineStr"/>
    </row>
    <row r="374" ht="15" customHeight="1">
      <c r="A374" t="inlineStr">
        <is>
          <t>A 41365-2023</t>
        </is>
      </c>
      <c r="B374" s="1" t="n">
        <v>45174.84201388889</v>
      </c>
      <c r="C374" s="1" t="n">
        <v>46137</v>
      </c>
      <c r="D374" t="inlineStr">
        <is>
          <t>DALARNAS LÄN</t>
        </is>
      </c>
      <c r="E374" t="inlineStr">
        <is>
          <t>GAGNEF</t>
        </is>
      </c>
      <c r="G374" t="n">
        <v>0.8</v>
      </c>
      <c r="H374" t="n">
        <v>0</v>
      </c>
      <c r="I374" t="n">
        <v>0</v>
      </c>
      <c r="J374" t="n">
        <v>0</v>
      </c>
      <c r="K374" t="n">
        <v>0</v>
      </c>
      <c r="L374" t="n">
        <v>0</v>
      </c>
      <c r="M374" t="n">
        <v>0</v>
      </c>
      <c r="N374" t="n">
        <v>0</v>
      </c>
      <c r="O374" t="n">
        <v>0</v>
      </c>
      <c r="P374" t="n">
        <v>0</v>
      </c>
      <c r="Q374" t="n">
        <v>0</v>
      </c>
      <c r="R374" s="2" t="inlineStr"/>
    </row>
    <row r="375" ht="15" customHeight="1">
      <c r="A375" t="inlineStr">
        <is>
          <t>A 38426-2024</t>
        </is>
      </c>
      <c r="B375" s="1" t="n">
        <v>45546.3780787037</v>
      </c>
      <c r="C375" s="1" t="n">
        <v>46137</v>
      </c>
      <c r="D375" t="inlineStr">
        <is>
          <t>DALARNAS LÄN</t>
        </is>
      </c>
      <c r="E375" t="inlineStr">
        <is>
          <t>GAGNEF</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15942-2026</t>
        </is>
      </c>
      <c r="B376" s="1" t="n">
        <v>46107</v>
      </c>
      <c r="C376" s="1" t="n">
        <v>46137</v>
      </c>
      <c r="D376" t="inlineStr">
        <is>
          <t>DALARNAS LÄN</t>
        </is>
      </c>
      <c r="E376" t="inlineStr">
        <is>
          <t>GAGNEF</t>
        </is>
      </c>
      <c r="G376" t="n">
        <v>1.8</v>
      </c>
      <c r="H376" t="n">
        <v>0</v>
      </c>
      <c r="I376" t="n">
        <v>0</v>
      </c>
      <c r="J376" t="n">
        <v>0</v>
      </c>
      <c r="K376" t="n">
        <v>0</v>
      </c>
      <c r="L376" t="n">
        <v>0</v>
      </c>
      <c r="M376" t="n">
        <v>0</v>
      </c>
      <c r="N376" t="n">
        <v>0</v>
      </c>
      <c r="O376" t="n">
        <v>0</v>
      </c>
      <c r="P376" t="n">
        <v>0</v>
      </c>
      <c r="Q376" t="n">
        <v>0</v>
      </c>
      <c r="R376" s="2" t="inlineStr"/>
    </row>
    <row r="377" ht="15" customHeight="1">
      <c r="A377" t="inlineStr">
        <is>
          <t>A 18038-2026</t>
        </is>
      </c>
      <c r="B377" s="1" t="n">
        <v>46125.40386574074</v>
      </c>
      <c r="C377" s="1" t="n">
        <v>46137</v>
      </c>
      <c r="D377" t="inlineStr">
        <is>
          <t>DALARNAS LÄN</t>
        </is>
      </c>
      <c r="E377" t="inlineStr">
        <is>
          <t>GAGNEF</t>
        </is>
      </c>
      <c r="G377" t="n">
        <v>6.1</v>
      </c>
      <c r="H377" t="n">
        <v>0</v>
      </c>
      <c r="I377" t="n">
        <v>0</v>
      </c>
      <c r="J377" t="n">
        <v>0</v>
      </c>
      <c r="K377" t="n">
        <v>0</v>
      </c>
      <c r="L377" t="n">
        <v>0</v>
      </c>
      <c r="M377" t="n">
        <v>0</v>
      </c>
      <c r="N377" t="n">
        <v>0</v>
      </c>
      <c r="O377" t="n">
        <v>0</v>
      </c>
      <c r="P377" t="n">
        <v>0</v>
      </c>
      <c r="Q377" t="n">
        <v>0</v>
      </c>
      <c r="R377" s="2" t="inlineStr"/>
    </row>
    <row r="378" ht="15" customHeight="1">
      <c r="A378" t="inlineStr">
        <is>
          <t>A 11397-2026</t>
        </is>
      </c>
      <c r="B378" s="1" t="n">
        <v>46083</v>
      </c>
      <c r="C378" s="1" t="n">
        <v>46137</v>
      </c>
      <c r="D378" t="inlineStr">
        <is>
          <t>DALARNAS LÄN</t>
        </is>
      </c>
      <c r="E378" t="inlineStr">
        <is>
          <t>GAGNEF</t>
        </is>
      </c>
      <c r="G378" t="n">
        <v>1.5</v>
      </c>
      <c r="H378" t="n">
        <v>0</v>
      </c>
      <c r="I378" t="n">
        <v>0</v>
      </c>
      <c r="J378" t="n">
        <v>0</v>
      </c>
      <c r="K378" t="n">
        <v>0</v>
      </c>
      <c r="L378" t="n">
        <v>0</v>
      </c>
      <c r="M378" t="n">
        <v>0</v>
      </c>
      <c r="N378" t="n">
        <v>0</v>
      </c>
      <c r="O378" t="n">
        <v>0</v>
      </c>
      <c r="P378" t="n">
        <v>0</v>
      </c>
      <c r="Q378" t="n">
        <v>0</v>
      </c>
      <c r="R378" s="2" t="inlineStr"/>
    </row>
    <row r="379" ht="15" customHeight="1">
      <c r="A379" t="inlineStr">
        <is>
          <t>A 64925-2021</t>
        </is>
      </c>
      <c r="B379" s="1" t="n">
        <v>44512.75452546297</v>
      </c>
      <c r="C379" s="1" t="n">
        <v>46137</v>
      </c>
      <c r="D379" t="inlineStr">
        <is>
          <t>DALARNAS LÄN</t>
        </is>
      </c>
      <c r="E379" t="inlineStr">
        <is>
          <t>GAGNEF</t>
        </is>
      </c>
      <c r="G379" t="n">
        <v>1.3</v>
      </c>
      <c r="H379" t="n">
        <v>0</v>
      </c>
      <c r="I379" t="n">
        <v>0</v>
      </c>
      <c r="J379" t="n">
        <v>0</v>
      </c>
      <c r="K379" t="n">
        <v>0</v>
      </c>
      <c r="L379" t="n">
        <v>0</v>
      </c>
      <c r="M379" t="n">
        <v>0</v>
      </c>
      <c r="N379" t="n">
        <v>0</v>
      </c>
      <c r="O379" t="n">
        <v>0</v>
      </c>
      <c r="P379" t="n">
        <v>0</v>
      </c>
      <c r="Q379" t="n">
        <v>0</v>
      </c>
      <c r="R379" s="2" t="inlineStr"/>
    </row>
    <row r="380" ht="15" customHeight="1">
      <c r="A380" t="inlineStr">
        <is>
          <t>A 18631-2026</t>
        </is>
      </c>
      <c r="B380" s="1" t="n">
        <v>46127.9452662037</v>
      </c>
      <c r="C380" s="1" t="n">
        <v>46137</v>
      </c>
      <c r="D380" t="inlineStr">
        <is>
          <t>DALARNAS LÄN</t>
        </is>
      </c>
      <c r="E380" t="inlineStr">
        <is>
          <t>GAGNEF</t>
        </is>
      </c>
      <c r="G380" t="n">
        <v>4.3</v>
      </c>
      <c r="H380" t="n">
        <v>0</v>
      </c>
      <c r="I380" t="n">
        <v>0</v>
      </c>
      <c r="J380" t="n">
        <v>0</v>
      </c>
      <c r="K380" t="n">
        <v>0</v>
      </c>
      <c r="L380" t="n">
        <v>0</v>
      </c>
      <c r="M380" t="n">
        <v>0</v>
      </c>
      <c r="N380" t="n">
        <v>0</v>
      </c>
      <c r="O380" t="n">
        <v>0</v>
      </c>
      <c r="P380" t="n">
        <v>0</v>
      </c>
      <c r="Q380" t="n">
        <v>0</v>
      </c>
      <c r="R380" s="2" t="inlineStr"/>
    </row>
    <row r="381" ht="15" customHeight="1">
      <c r="A381" t="inlineStr">
        <is>
          <t>A 34467-2024</t>
        </is>
      </c>
      <c r="B381" s="1" t="n">
        <v>45525.5819212963</v>
      </c>
      <c r="C381" s="1" t="n">
        <v>46137</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25024-2023</t>
        </is>
      </c>
      <c r="B382" s="1" t="n">
        <v>45085</v>
      </c>
      <c r="C382" s="1" t="n">
        <v>46137</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337-2025</t>
        </is>
      </c>
      <c r="B383" s="1" t="n">
        <v>45660.68168981482</v>
      </c>
      <c r="C383" s="1" t="n">
        <v>46137</v>
      </c>
      <c r="D383" t="inlineStr">
        <is>
          <t>DALARNAS LÄN</t>
        </is>
      </c>
      <c r="E383" t="inlineStr">
        <is>
          <t>GAGNEF</t>
        </is>
      </c>
      <c r="G383" t="n">
        <v>2.2</v>
      </c>
      <c r="H383" t="n">
        <v>0</v>
      </c>
      <c r="I383" t="n">
        <v>0</v>
      </c>
      <c r="J383" t="n">
        <v>0</v>
      </c>
      <c r="K383" t="n">
        <v>0</v>
      </c>
      <c r="L383" t="n">
        <v>0</v>
      </c>
      <c r="M383" t="n">
        <v>0</v>
      </c>
      <c r="N383" t="n">
        <v>0</v>
      </c>
      <c r="O383" t="n">
        <v>0</v>
      </c>
      <c r="P383" t="n">
        <v>0</v>
      </c>
      <c r="Q383" t="n">
        <v>0</v>
      </c>
      <c r="R383" s="2" t="inlineStr"/>
    </row>
    <row r="384" ht="15" customHeight="1">
      <c r="A384" t="inlineStr">
        <is>
          <t>A 17854-2024</t>
        </is>
      </c>
      <c r="B384" s="1" t="n">
        <v>45419.41003472222</v>
      </c>
      <c r="C384" s="1" t="n">
        <v>46137</v>
      </c>
      <c r="D384" t="inlineStr">
        <is>
          <t>DALARNAS LÄN</t>
        </is>
      </c>
      <c r="E384" t="inlineStr">
        <is>
          <t>GAGNEF</t>
        </is>
      </c>
      <c r="G384" t="n">
        <v>0.7</v>
      </c>
      <c r="H384" t="n">
        <v>0</v>
      </c>
      <c r="I384" t="n">
        <v>0</v>
      </c>
      <c r="J384" t="n">
        <v>0</v>
      </c>
      <c r="K384" t="n">
        <v>0</v>
      </c>
      <c r="L384" t="n">
        <v>0</v>
      </c>
      <c r="M384" t="n">
        <v>0</v>
      </c>
      <c r="N384" t="n">
        <v>0</v>
      </c>
      <c r="O384" t="n">
        <v>0</v>
      </c>
      <c r="P384" t="n">
        <v>0</v>
      </c>
      <c r="Q384" t="n">
        <v>0</v>
      </c>
      <c r="R384" s="2" t="inlineStr"/>
    </row>
    <row r="385" ht="15" customHeight="1">
      <c r="A385" t="inlineStr">
        <is>
          <t>A 41952-2024</t>
        </is>
      </c>
      <c r="B385" s="1" t="n">
        <v>45561.58697916667</v>
      </c>
      <c r="C385" s="1" t="n">
        <v>46137</v>
      </c>
      <c r="D385" t="inlineStr">
        <is>
          <t>DALARNAS LÄN</t>
        </is>
      </c>
      <c r="E385" t="inlineStr">
        <is>
          <t>GAGNEF</t>
        </is>
      </c>
      <c r="G385" t="n">
        <v>1.5</v>
      </c>
      <c r="H385" t="n">
        <v>0</v>
      </c>
      <c r="I385" t="n">
        <v>0</v>
      </c>
      <c r="J385" t="n">
        <v>0</v>
      </c>
      <c r="K385" t="n">
        <v>0</v>
      </c>
      <c r="L385" t="n">
        <v>0</v>
      </c>
      <c r="M385" t="n">
        <v>0</v>
      </c>
      <c r="N385" t="n">
        <v>0</v>
      </c>
      <c r="O385" t="n">
        <v>0</v>
      </c>
      <c r="P385" t="n">
        <v>0</v>
      </c>
      <c r="Q385" t="n">
        <v>0</v>
      </c>
      <c r="R385" s="2" t="inlineStr"/>
    </row>
    <row r="386" ht="15" customHeight="1">
      <c r="A386" t="inlineStr">
        <is>
          <t>A 11261-2026</t>
        </is>
      </c>
      <c r="B386" s="1" t="n">
        <v>46080</v>
      </c>
      <c r="C386" s="1" t="n">
        <v>46137</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31804-2024</t>
        </is>
      </c>
      <c r="B387" s="1" t="n">
        <v>45509.57237268519</v>
      </c>
      <c r="C387" s="1" t="n">
        <v>46137</v>
      </c>
      <c r="D387" t="inlineStr">
        <is>
          <t>DALARNAS LÄN</t>
        </is>
      </c>
      <c r="E387" t="inlineStr">
        <is>
          <t>GAGNEF</t>
        </is>
      </c>
      <c r="G387" t="n">
        <v>0.5</v>
      </c>
      <c r="H387" t="n">
        <v>0</v>
      </c>
      <c r="I387" t="n">
        <v>0</v>
      </c>
      <c r="J387" t="n">
        <v>0</v>
      </c>
      <c r="K387" t="n">
        <v>0</v>
      </c>
      <c r="L387" t="n">
        <v>0</v>
      </c>
      <c r="M387" t="n">
        <v>0</v>
      </c>
      <c r="N387" t="n">
        <v>0</v>
      </c>
      <c r="O387" t="n">
        <v>0</v>
      </c>
      <c r="P387" t="n">
        <v>0</v>
      </c>
      <c r="Q387" t="n">
        <v>0</v>
      </c>
      <c r="R387" s="2" t="inlineStr"/>
    </row>
    <row r="388" ht="15" customHeight="1">
      <c r="A388" t="inlineStr">
        <is>
          <t>A 41442-2024</t>
        </is>
      </c>
      <c r="B388" s="1" t="n">
        <v>45560.39084490741</v>
      </c>
      <c r="C388" s="1" t="n">
        <v>46137</v>
      </c>
      <c r="D388" t="inlineStr">
        <is>
          <t>DALARNAS LÄN</t>
        </is>
      </c>
      <c r="E388" t="inlineStr">
        <is>
          <t>GAGNEF</t>
        </is>
      </c>
      <c r="G388" t="n">
        <v>2.2</v>
      </c>
      <c r="H388" t="n">
        <v>0</v>
      </c>
      <c r="I388" t="n">
        <v>0</v>
      </c>
      <c r="J388" t="n">
        <v>0</v>
      </c>
      <c r="K388" t="n">
        <v>0</v>
      </c>
      <c r="L388" t="n">
        <v>0</v>
      </c>
      <c r="M388" t="n">
        <v>0</v>
      </c>
      <c r="N388" t="n">
        <v>0</v>
      </c>
      <c r="O388" t="n">
        <v>0</v>
      </c>
      <c r="P388" t="n">
        <v>0</v>
      </c>
      <c r="Q388" t="n">
        <v>0</v>
      </c>
      <c r="R388" s="2" t="inlineStr"/>
    </row>
    <row r="389" ht="15" customHeight="1">
      <c r="A389" t="inlineStr">
        <is>
          <t>A 20486-2024</t>
        </is>
      </c>
      <c r="B389" s="1" t="n">
        <v>45435.76391203704</v>
      </c>
      <c r="C389" s="1" t="n">
        <v>46137</v>
      </c>
      <c r="D389" t="inlineStr">
        <is>
          <t>DALARNAS LÄN</t>
        </is>
      </c>
      <c r="E389" t="inlineStr">
        <is>
          <t>GAGNEF</t>
        </is>
      </c>
      <c r="G389" t="n">
        <v>10.1</v>
      </c>
      <c r="H389" t="n">
        <v>0</v>
      </c>
      <c r="I389" t="n">
        <v>0</v>
      </c>
      <c r="J389" t="n">
        <v>0</v>
      </c>
      <c r="K389" t="n">
        <v>0</v>
      </c>
      <c r="L389" t="n">
        <v>0</v>
      </c>
      <c r="M389" t="n">
        <v>0</v>
      </c>
      <c r="N389" t="n">
        <v>0</v>
      </c>
      <c r="O389" t="n">
        <v>0</v>
      </c>
      <c r="P389" t="n">
        <v>0</v>
      </c>
      <c r="Q389" t="n">
        <v>0</v>
      </c>
      <c r="R389" s="2" t="inlineStr"/>
    </row>
    <row r="390" ht="15" customHeight="1">
      <c r="A390" t="inlineStr">
        <is>
          <t>A 52159-2023</t>
        </is>
      </c>
      <c r="B390" s="1" t="n">
        <v>45224</v>
      </c>
      <c r="C390" s="1" t="n">
        <v>46137</v>
      </c>
      <c r="D390" t="inlineStr">
        <is>
          <t>DALARNAS LÄN</t>
        </is>
      </c>
      <c r="E390" t="inlineStr">
        <is>
          <t>GAGNEF</t>
        </is>
      </c>
      <c r="G390" t="n">
        <v>1</v>
      </c>
      <c r="H390" t="n">
        <v>0</v>
      </c>
      <c r="I390" t="n">
        <v>0</v>
      </c>
      <c r="J390" t="n">
        <v>0</v>
      </c>
      <c r="K390" t="n">
        <v>0</v>
      </c>
      <c r="L390" t="n">
        <v>0</v>
      </c>
      <c r="M390" t="n">
        <v>0</v>
      </c>
      <c r="N390" t="n">
        <v>0</v>
      </c>
      <c r="O390" t="n">
        <v>0</v>
      </c>
      <c r="P390" t="n">
        <v>0</v>
      </c>
      <c r="Q390" t="n">
        <v>0</v>
      </c>
      <c r="R390" s="2" t="inlineStr"/>
    </row>
    <row r="391" ht="15" customHeight="1">
      <c r="A391" t="inlineStr">
        <is>
          <t>A 25853-2024</t>
        </is>
      </c>
      <c r="B391" s="1" t="n">
        <v>45467.44922453703</v>
      </c>
      <c r="C391" s="1" t="n">
        <v>46137</v>
      </c>
      <c r="D391" t="inlineStr">
        <is>
          <t>DALARNAS LÄN</t>
        </is>
      </c>
      <c r="E391" t="inlineStr">
        <is>
          <t>GAGNEF</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19703-2026</t>
        </is>
      </c>
      <c r="B392" s="1" t="n">
        <v>46134</v>
      </c>
      <c r="C392" s="1" t="n">
        <v>46137</v>
      </c>
      <c r="D392" t="inlineStr">
        <is>
          <t>DALARNAS LÄN</t>
        </is>
      </c>
      <c r="E392" t="inlineStr">
        <is>
          <t>GAGNEF</t>
        </is>
      </c>
      <c r="G392" t="n">
        <v>5.9</v>
      </c>
      <c r="H392" t="n">
        <v>0</v>
      </c>
      <c r="I392" t="n">
        <v>0</v>
      </c>
      <c r="J392" t="n">
        <v>0</v>
      </c>
      <c r="K392" t="n">
        <v>0</v>
      </c>
      <c r="L392" t="n">
        <v>0</v>
      </c>
      <c r="M392" t="n">
        <v>0</v>
      </c>
      <c r="N392" t="n">
        <v>0</v>
      </c>
      <c r="O392" t="n">
        <v>0</v>
      </c>
      <c r="P392" t="n">
        <v>0</v>
      </c>
      <c r="Q392" t="n">
        <v>0</v>
      </c>
      <c r="R392" s="2" t="inlineStr"/>
    </row>
    <row r="393" ht="15" customHeight="1">
      <c r="A393" t="inlineStr">
        <is>
          <t>A 6566-2022</t>
        </is>
      </c>
      <c r="B393" s="1" t="n">
        <v>44601</v>
      </c>
      <c r="C393" s="1" t="n">
        <v>46137</v>
      </c>
      <c r="D393" t="inlineStr">
        <is>
          <t>DALARNAS LÄN</t>
        </is>
      </c>
      <c r="E393" t="inlineStr">
        <is>
          <t>GAGNEF</t>
        </is>
      </c>
      <c r="G393" t="n">
        <v>0.7</v>
      </c>
      <c r="H393" t="n">
        <v>0</v>
      </c>
      <c r="I393" t="n">
        <v>0</v>
      </c>
      <c r="J393" t="n">
        <v>0</v>
      </c>
      <c r="K393" t="n">
        <v>0</v>
      </c>
      <c r="L393" t="n">
        <v>0</v>
      </c>
      <c r="M393" t="n">
        <v>0</v>
      </c>
      <c r="N393" t="n">
        <v>0</v>
      </c>
      <c r="O393" t="n">
        <v>0</v>
      </c>
      <c r="P393" t="n">
        <v>0</v>
      </c>
      <c r="Q393" t="n">
        <v>0</v>
      </c>
      <c r="R393" s="2" t="inlineStr"/>
    </row>
    <row r="394" ht="15" customHeight="1">
      <c r="A394" t="inlineStr">
        <is>
          <t>A 44334-2024</t>
        </is>
      </c>
      <c r="B394" s="1" t="n">
        <v>45573.60828703704</v>
      </c>
      <c r="C394" s="1" t="n">
        <v>46137</v>
      </c>
      <c r="D394" t="inlineStr">
        <is>
          <t>DALARNAS LÄN</t>
        </is>
      </c>
      <c r="E394" t="inlineStr">
        <is>
          <t>GAGNEF</t>
        </is>
      </c>
      <c r="G394" t="n">
        <v>1.2</v>
      </c>
      <c r="H394" t="n">
        <v>0</v>
      </c>
      <c r="I394" t="n">
        <v>0</v>
      </c>
      <c r="J394" t="n">
        <v>0</v>
      </c>
      <c r="K394" t="n">
        <v>0</v>
      </c>
      <c r="L394" t="n">
        <v>0</v>
      </c>
      <c r="M394" t="n">
        <v>0</v>
      </c>
      <c r="N394" t="n">
        <v>0</v>
      </c>
      <c r="O394" t="n">
        <v>0</v>
      </c>
      <c r="P394" t="n">
        <v>0</v>
      </c>
      <c r="Q394" t="n">
        <v>0</v>
      </c>
      <c r="R394" s="2" t="inlineStr"/>
    </row>
    <row r="395" ht="15" customHeight="1">
      <c r="A395" t="inlineStr">
        <is>
          <t>A 61871-2024</t>
        </is>
      </c>
      <c r="B395" s="1" t="n">
        <v>45651.8659375</v>
      </c>
      <c r="C395" s="1" t="n">
        <v>46137</v>
      </c>
      <c r="D395" t="inlineStr">
        <is>
          <t>DALARNAS LÄN</t>
        </is>
      </c>
      <c r="E395" t="inlineStr">
        <is>
          <t>GAGNEF</t>
        </is>
      </c>
      <c r="F395" t="inlineStr">
        <is>
          <t>Bergvik skog väst AB</t>
        </is>
      </c>
      <c r="G395" t="n">
        <v>10</v>
      </c>
      <c r="H395" t="n">
        <v>0</v>
      </c>
      <c r="I395" t="n">
        <v>0</v>
      </c>
      <c r="J395" t="n">
        <v>0</v>
      </c>
      <c r="K395" t="n">
        <v>0</v>
      </c>
      <c r="L395" t="n">
        <v>0</v>
      </c>
      <c r="M395" t="n">
        <v>0</v>
      </c>
      <c r="N395" t="n">
        <v>0</v>
      </c>
      <c r="O395" t="n">
        <v>0</v>
      </c>
      <c r="P395" t="n">
        <v>0</v>
      </c>
      <c r="Q395" t="n">
        <v>0</v>
      </c>
      <c r="R395" s="2" t="inlineStr"/>
    </row>
    <row r="396" ht="15" customHeight="1">
      <c r="A396" t="inlineStr">
        <is>
          <t>A 35814-2024</t>
        </is>
      </c>
      <c r="B396" s="1" t="n">
        <v>45532.65449074074</v>
      </c>
      <c r="C396" s="1" t="n">
        <v>46137</v>
      </c>
      <c r="D396" t="inlineStr">
        <is>
          <t>DALARNAS LÄN</t>
        </is>
      </c>
      <c r="E396" t="inlineStr">
        <is>
          <t>GAGNEF</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51231-2023</t>
        </is>
      </c>
      <c r="B397" s="1" t="n">
        <v>45219</v>
      </c>
      <c r="C397" s="1" t="n">
        <v>46137</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31245-2024</t>
        </is>
      </c>
      <c r="B398" s="1" t="n">
        <v>45503.65226851852</v>
      </c>
      <c r="C398" s="1" t="n">
        <v>46137</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59893-2021</t>
        </is>
      </c>
      <c r="B399" s="1" t="n">
        <v>44494</v>
      </c>
      <c r="C399" s="1" t="n">
        <v>46137</v>
      </c>
      <c r="D399" t="inlineStr">
        <is>
          <t>DALARNAS LÄN</t>
        </is>
      </c>
      <c r="E399" t="inlineStr">
        <is>
          <t>GAGNEF</t>
        </is>
      </c>
      <c r="G399" t="n">
        <v>1.6</v>
      </c>
      <c r="H399" t="n">
        <v>0</v>
      </c>
      <c r="I399" t="n">
        <v>0</v>
      </c>
      <c r="J399" t="n">
        <v>0</v>
      </c>
      <c r="K399" t="n">
        <v>0</v>
      </c>
      <c r="L399" t="n">
        <v>0</v>
      </c>
      <c r="M399" t="n">
        <v>0</v>
      </c>
      <c r="N399" t="n">
        <v>0</v>
      </c>
      <c r="O399" t="n">
        <v>0</v>
      </c>
      <c r="P399" t="n">
        <v>0</v>
      </c>
      <c r="Q399" t="n">
        <v>0</v>
      </c>
      <c r="R399" s="2" t="inlineStr"/>
    </row>
    <row r="400" ht="15" customHeight="1">
      <c r="A400" t="inlineStr">
        <is>
          <t>A 10995-2024</t>
        </is>
      </c>
      <c r="B400" s="1" t="n">
        <v>45370.55768518519</v>
      </c>
      <c r="C400" s="1" t="n">
        <v>46137</v>
      </c>
      <c r="D400" t="inlineStr">
        <is>
          <t>DALARNAS LÄN</t>
        </is>
      </c>
      <c r="E400" t="inlineStr">
        <is>
          <t>GAGNEF</t>
        </is>
      </c>
      <c r="G400" t="n">
        <v>2.4</v>
      </c>
      <c r="H400" t="n">
        <v>0</v>
      </c>
      <c r="I400" t="n">
        <v>0</v>
      </c>
      <c r="J400" t="n">
        <v>0</v>
      </c>
      <c r="K400" t="n">
        <v>0</v>
      </c>
      <c r="L400" t="n">
        <v>0</v>
      </c>
      <c r="M400" t="n">
        <v>0</v>
      </c>
      <c r="N400" t="n">
        <v>0</v>
      </c>
      <c r="O400" t="n">
        <v>0</v>
      </c>
      <c r="P400" t="n">
        <v>0</v>
      </c>
      <c r="Q400" t="n">
        <v>0</v>
      </c>
      <c r="R400" s="2" t="inlineStr"/>
    </row>
    <row r="401" ht="15" customHeight="1">
      <c r="A401" t="inlineStr">
        <is>
          <t>A 48805-2024</t>
        </is>
      </c>
      <c r="B401" s="1" t="n">
        <v>45593.66460648148</v>
      </c>
      <c r="C401" s="1" t="n">
        <v>46137</v>
      </c>
      <c r="D401" t="inlineStr">
        <is>
          <t>DALARNAS LÄN</t>
        </is>
      </c>
      <c r="E401" t="inlineStr">
        <is>
          <t>GAGNEF</t>
        </is>
      </c>
      <c r="G401" t="n">
        <v>0.4</v>
      </c>
      <c r="H401" t="n">
        <v>0</v>
      </c>
      <c r="I401" t="n">
        <v>0</v>
      </c>
      <c r="J401" t="n">
        <v>0</v>
      </c>
      <c r="K401" t="n">
        <v>0</v>
      </c>
      <c r="L401" t="n">
        <v>0</v>
      </c>
      <c r="M401" t="n">
        <v>0</v>
      </c>
      <c r="N401" t="n">
        <v>0</v>
      </c>
      <c r="O401" t="n">
        <v>0</v>
      </c>
      <c r="P401" t="n">
        <v>0</v>
      </c>
      <c r="Q401" t="n">
        <v>0</v>
      </c>
      <c r="R401" s="2" t="inlineStr"/>
    </row>
    <row r="402" ht="15" customHeight="1">
      <c r="A402" t="inlineStr">
        <is>
          <t>A 604-2025</t>
        </is>
      </c>
      <c r="B402" s="1" t="n">
        <v>45664</v>
      </c>
      <c r="C402" s="1" t="n">
        <v>46137</v>
      </c>
      <c r="D402" t="inlineStr">
        <is>
          <t>DALARNAS LÄN</t>
        </is>
      </c>
      <c r="E402" t="inlineStr">
        <is>
          <t>GAGNEF</t>
        </is>
      </c>
      <c r="G402" t="n">
        <v>1.1</v>
      </c>
      <c r="H402" t="n">
        <v>0</v>
      </c>
      <c r="I402" t="n">
        <v>0</v>
      </c>
      <c r="J402" t="n">
        <v>0</v>
      </c>
      <c r="K402" t="n">
        <v>0</v>
      </c>
      <c r="L402" t="n">
        <v>0</v>
      </c>
      <c r="M402" t="n">
        <v>0</v>
      </c>
      <c r="N402" t="n">
        <v>0</v>
      </c>
      <c r="O402" t="n">
        <v>0</v>
      </c>
      <c r="P402" t="n">
        <v>0</v>
      </c>
      <c r="Q402" t="n">
        <v>0</v>
      </c>
      <c r="R402" s="2" t="inlineStr"/>
    </row>
    <row r="403" ht="15" customHeight="1">
      <c r="A403" t="inlineStr">
        <is>
          <t>A 36011-2023</t>
        </is>
      </c>
      <c r="B403" s="1" t="n">
        <v>45148</v>
      </c>
      <c r="C403" s="1" t="n">
        <v>46137</v>
      </c>
      <c r="D403" t="inlineStr">
        <is>
          <t>DALARNAS LÄN</t>
        </is>
      </c>
      <c r="E403" t="inlineStr">
        <is>
          <t>GAGNEF</t>
        </is>
      </c>
      <c r="G403" t="n">
        <v>0.6</v>
      </c>
      <c r="H403" t="n">
        <v>0</v>
      </c>
      <c r="I403" t="n">
        <v>0</v>
      </c>
      <c r="J403" t="n">
        <v>0</v>
      </c>
      <c r="K403" t="n">
        <v>0</v>
      </c>
      <c r="L403" t="n">
        <v>0</v>
      </c>
      <c r="M403" t="n">
        <v>0</v>
      </c>
      <c r="N403" t="n">
        <v>0</v>
      </c>
      <c r="O403" t="n">
        <v>0</v>
      </c>
      <c r="P403" t="n">
        <v>0</v>
      </c>
      <c r="Q403" t="n">
        <v>0</v>
      </c>
      <c r="R403" s="2" t="inlineStr"/>
    </row>
    <row r="404" ht="15" customHeight="1">
      <c r="A404" t="inlineStr">
        <is>
          <t>A 60667-2023</t>
        </is>
      </c>
      <c r="B404" s="1" t="n">
        <v>45260</v>
      </c>
      <c r="C404" s="1" t="n">
        <v>46137</v>
      </c>
      <c r="D404" t="inlineStr">
        <is>
          <t>DALARNAS LÄN</t>
        </is>
      </c>
      <c r="E404" t="inlineStr">
        <is>
          <t>GAGNEF</t>
        </is>
      </c>
      <c r="G404" t="n">
        <v>2.1</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46137</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51138-2022</t>
        </is>
      </c>
      <c r="B406" s="1" t="n">
        <v>44868</v>
      </c>
      <c r="C406" s="1" t="n">
        <v>46137</v>
      </c>
      <c r="D406" t="inlineStr">
        <is>
          <t>DALARNAS LÄN</t>
        </is>
      </c>
      <c r="E406" t="inlineStr">
        <is>
          <t>GAGNEF</t>
        </is>
      </c>
      <c r="G406" t="n">
        <v>0.6</v>
      </c>
      <c r="H406" t="n">
        <v>0</v>
      </c>
      <c r="I406" t="n">
        <v>0</v>
      </c>
      <c r="J406" t="n">
        <v>0</v>
      </c>
      <c r="K406" t="n">
        <v>0</v>
      </c>
      <c r="L406" t="n">
        <v>0</v>
      </c>
      <c r="M406" t="n">
        <v>0</v>
      </c>
      <c r="N406" t="n">
        <v>0</v>
      </c>
      <c r="O406" t="n">
        <v>0</v>
      </c>
      <c r="P406" t="n">
        <v>0</v>
      </c>
      <c r="Q406" t="n">
        <v>0</v>
      </c>
      <c r="R406" s="2" t="inlineStr"/>
    </row>
    <row r="407" ht="15" customHeight="1">
      <c r="A407" t="inlineStr">
        <is>
          <t>A 5347-2025</t>
        </is>
      </c>
      <c r="B407" s="1" t="n">
        <v>45692.55440972222</v>
      </c>
      <c r="C407" s="1" t="n">
        <v>46137</v>
      </c>
      <c r="D407" t="inlineStr">
        <is>
          <t>DALARNAS LÄN</t>
        </is>
      </c>
      <c r="E407" t="inlineStr">
        <is>
          <t>GAGNEF</t>
        </is>
      </c>
      <c r="G407" t="n">
        <v>1</v>
      </c>
      <c r="H407" t="n">
        <v>0</v>
      </c>
      <c r="I407" t="n">
        <v>0</v>
      </c>
      <c r="J407" t="n">
        <v>0</v>
      </c>
      <c r="K407" t="n">
        <v>0</v>
      </c>
      <c r="L407" t="n">
        <v>0</v>
      </c>
      <c r="M407" t="n">
        <v>0</v>
      </c>
      <c r="N407" t="n">
        <v>0</v>
      </c>
      <c r="O407" t="n">
        <v>0</v>
      </c>
      <c r="P407" t="n">
        <v>0</v>
      </c>
      <c r="Q407" t="n">
        <v>0</v>
      </c>
      <c r="R407" s="2" t="inlineStr"/>
    </row>
    <row r="408">
      <c r="A408" t="inlineStr">
        <is>
          <t>A 5859-2025</t>
        </is>
      </c>
      <c r="B408" s="1" t="n">
        <v>45695.34581018519</v>
      </c>
      <c r="C408" s="1" t="n">
        <v>46137</v>
      </c>
      <c r="D408" t="inlineStr">
        <is>
          <t>DALARNAS LÄN</t>
        </is>
      </c>
      <c r="E408" t="inlineStr">
        <is>
          <t>GAGNEF</t>
        </is>
      </c>
      <c r="G408" t="n">
        <v>0.5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2026-04-25T11:01:49Z</dcterms:created>
  <dcterms:modified xmlns:dcterms="http://purl.org/dc/terms/" xmlns:xsi="http://www.w3.org/2001/XMLSchema-instance" xsi:type="dcterms:W3CDTF">2026-04-25T11:01:50Z</dcterms:modified>
</cp:coreProperties>
</file>