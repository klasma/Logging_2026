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46298</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46298</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46298</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46298</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46298</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46298</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46298</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46298</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46298</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46298</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46298</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35366-2026</t>
        </is>
      </c>
      <c r="B13" t="inlineStr">
        <is>
          <t>avverkningsanmälan</t>
        </is>
      </c>
      <c r="C13" t="inlineStr">
        <is>
          <t>Föryngringsavverkning</t>
        </is>
      </c>
      <c r="D13" s="1" t="n">
        <v>46261</v>
      </c>
      <c r="E13" s="1" t="n">
        <v>46298</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47294-2023</t>
        </is>
      </c>
      <c r="B14" t="inlineStr">
        <is>
          <t>avverkningsanmälan</t>
        </is>
      </c>
      <c r="C14" t="inlineStr">
        <is>
          <t>Föryngringsavverkning</t>
        </is>
      </c>
      <c r="D14" s="1" t="n">
        <v>45202</v>
      </c>
      <c r="E14" s="1" t="n">
        <v>46298</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46298</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44380-2025</t>
        </is>
      </c>
      <c r="B16" t="inlineStr">
        <is>
          <t>avverkningsanmälan</t>
        </is>
      </c>
      <c r="C16" t="inlineStr">
        <is>
          <t>Föryngringsavverkning</t>
        </is>
      </c>
      <c r="D16" s="1" t="n">
        <v>45916</v>
      </c>
      <c r="E16" s="1" t="n">
        <v>46298</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14015-2026</t>
        </is>
      </c>
      <c r="B17" t="inlineStr">
        <is>
          <t>avverkningsanmälan</t>
        </is>
      </c>
      <c r="C17" t="inlineStr">
        <is>
          <t>Föryngringsavverkning</t>
        </is>
      </c>
      <c r="D17" s="1" t="n">
        <v>46098</v>
      </c>
      <c r="E17" s="1" t="n">
        <v>46298</v>
      </c>
      <c r="F17" t="inlineStr">
        <is>
          <t>DALARNAS LÄN</t>
        </is>
      </c>
      <c r="G17" t="inlineStr">
        <is>
          <t>GAGNEF</t>
        </is>
      </c>
      <c r="H17" t="inlineStr">
        <is>
          <t>Bergvik skog väst AB</t>
        </is>
      </c>
      <c r="I17" t="n">
        <v>1.9</v>
      </c>
      <c r="J17" t="n">
        <v>0</v>
      </c>
      <c r="K17" t="n">
        <v>0</v>
      </c>
      <c r="L17" t="n">
        <v>2</v>
      </c>
      <c r="M17" t="n">
        <v>1</v>
      </c>
      <c r="N17" t="n">
        <v>0</v>
      </c>
      <c r="O17" t="n">
        <v>0</v>
      </c>
      <c r="P17" t="n">
        <v>0</v>
      </c>
      <c r="Q17" t="n">
        <v>3</v>
      </c>
      <c r="R17" t="n">
        <v>1</v>
      </c>
      <c r="S17" t="n">
        <v>3</v>
      </c>
      <c r="T17" t="n">
        <v>3</v>
      </c>
      <c r="U17" t="n">
        <v>0</v>
      </c>
      <c r="V17" s="2" t="inlineStr">
        <is>
          <t>Skrovlig taggsvamp
Dropptaggsvamp
Talltaggsvamp</t>
        </is>
      </c>
      <c r="W17">
        <f>HYPERLINK("https://klasma.github.io/Logging_2026/artfynd/A 14015-2026 artfynd.xlsx", "A 14015-2026")</f>
        <v/>
      </c>
      <c r="X17">
        <f>HYPERLINK("https://klasma.github.io/Logging_2026/kartor/A 14015-2026 karta.png", "A 14015-2026")</f>
        <v/>
      </c>
      <c r="Y17">
        <f>HYPERLINK("https://klasma.github.io/Logging_2026/kartor_geotiff/A 14015-2026 georefererad karta.tif", "A 14015-2026")</f>
        <v/>
      </c>
      <c r="AA17">
        <f>HYPERLINK("https://klasma.github.io/Logging_2026/klagomål/A 14015-2026 FSC-klagomål.docx", "A 14015-2026")</f>
        <v/>
      </c>
      <c r="AB17">
        <f>HYPERLINK("https://klasma.github.io/Logging_2026/klagomålsmail/A 14015-2026 FSC-klagomål mail.docx", "A 14015-2026")</f>
        <v/>
      </c>
      <c r="AC17">
        <f>HYPERLINK("https://klasma.github.io/Logging_2026/tillsyn/A 14015-2026 tillsynsbegäran.docx", "A 14015-2026")</f>
        <v/>
      </c>
      <c r="AD17">
        <f>HYPERLINK("https://klasma.github.io/Logging_2026/tillsynsmail/A 14015-2026 tillsynsbegäran mail.docx", "A 14015-2026")</f>
        <v/>
      </c>
    </row>
    <row r="18" ht="15" customHeight="1">
      <c r="A18" t="inlineStr">
        <is>
          <t>A 42709-2024</t>
        </is>
      </c>
      <c r="B18" t="inlineStr">
        <is>
          <t>avverkningsanmälan</t>
        </is>
      </c>
      <c r="C18" t="inlineStr">
        <is>
          <t>Föryngringsavverkning</t>
        </is>
      </c>
      <c r="D18" s="1" t="n">
        <v>45566</v>
      </c>
      <c r="E18" s="1" t="n">
        <v>46298</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46298</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61787-2024</t>
        </is>
      </c>
      <c r="B20" t="inlineStr">
        <is>
          <t>avverkningsanmälan</t>
        </is>
      </c>
      <c r="C20" t="inlineStr">
        <is>
          <t>Föryngringsavverkning</t>
        </is>
      </c>
      <c r="D20" s="1" t="n">
        <v>45649</v>
      </c>
      <c r="E20" s="1" t="n">
        <v>46298</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58427-2025</t>
        </is>
      </c>
      <c r="B21" t="inlineStr">
        <is>
          <t>avverkningsanmälan</t>
        </is>
      </c>
      <c r="C21" t="inlineStr">
        <is>
          <t>Föryngringsavverkning</t>
        </is>
      </c>
      <c r="D21" s="1" t="n">
        <v>45985</v>
      </c>
      <c r="E21" s="1" t="n">
        <v>46298</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43914-2024</t>
        </is>
      </c>
      <c r="B22" t="inlineStr">
        <is>
          <t>avverkningsanmälan</t>
        </is>
      </c>
      <c r="C22" t="inlineStr">
        <is>
          <t>Föryngringsavverkning</t>
        </is>
      </c>
      <c r="D22" s="1" t="n">
        <v>45572</v>
      </c>
      <c r="E22" s="1" t="n">
        <v>46298</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63654-2023</t>
        </is>
      </c>
      <c r="B23" t="inlineStr">
        <is>
          <t>avverkningsanmälan</t>
        </is>
      </c>
      <c r="C23" t="inlineStr">
        <is>
          <t>Föryngringsavverkning</t>
        </is>
      </c>
      <c r="D23" s="1" t="n">
        <v>45275</v>
      </c>
      <c r="E23" s="1" t="n">
        <v>46298</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4421-2026</t>
        </is>
      </c>
      <c r="B24" t="inlineStr">
        <is>
          <t>avverkningsanmälan</t>
        </is>
      </c>
      <c r="C24" t="inlineStr">
        <is>
          <t>Föryngringsavverkning</t>
        </is>
      </c>
      <c r="D24" s="1" t="n">
        <v>46045</v>
      </c>
      <c r="E24" s="1" t="n">
        <v>46298</v>
      </c>
      <c r="F24" t="inlineStr">
        <is>
          <t>DALARNAS LÄN</t>
        </is>
      </c>
      <c r="G24" t="inlineStr">
        <is>
          <t>GAGNEF</t>
        </is>
      </c>
      <c r="H24" t="inlineStr">
        <is>
          <t>Kommuner</t>
        </is>
      </c>
      <c r="I24" t="n">
        <v>8.300000000000001</v>
      </c>
      <c r="J24" t="n">
        <v>0</v>
      </c>
      <c r="K24" t="n">
        <v>0</v>
      </c>
      <c r="L24" t="n">
        <v>2</v>
      </c>
      <c r="M24" t="n">
        <v>0</v>
      </c>
      <c r="N24" t="n">
        <v>0</v>
      </c>
      <c r="O24" t="n">
        <v>0</v>
      </c>
      <c r="P24" t="n">
        <v>0</v>
      </c>
      <c r="Q24" t="n">
        <v>2</v>
      </c>
      <c r="R24" t="n">
        <v>0</v>
      </c>
      <c r="S24" t="n">
        <v>2</v>
      </c>
      <c r="T24" t="n">
        <v>2</v>
      </c>
      <c r="U24" t="n">
        <v>0</v>
      </c>
      <c r="V24" s="2" t="inlineStr">
        <is>
          <t>Rosenticka
Ullticka</t>
        </is>
      </c>
      <c r="W24">
        <f>HYPERLINK("https://klasma.github.io/Logging_2026/artfynd/A 4421-2026 artfynd.xlsx", "A 4421-2026")</f>
        <v/>
      </c>
      <c r="X24">
        <f>HYPERLINK("https://klasma.github.io/Logging_2026/kartor/A 4421-2026 karta.png", "A 4421-2026")</f>
        <v/>
      </c>
      <c r="Y24">
        <f>HYPERLINK("https://klasma.github.io/Logging_2026/kartor_geotiff/A 4421-2026 georefererad karta.tif", "A 4421-2026")</f>
        <v/>
      </c>
      <c r="AA24">
        <f>HYPERLINK("https://klasma.github.io/Logging_2026/klagomål/A 4421-2026 FSC-klagomål.docx", "A 4421-2026")</f>
        <v/>
      </c>
      <c r="AB24">
        <f>HYPERLINK("https://klasma.github.io/Logging_2026/klagomålsmail/A 4421-2026 FSC-klagomål mail.docx", "A 4421-2026")</f>
        <v/>
      </c>
      <c r="AC24">
        <f>HYPERLINK("https://klasma.github.io/Logging_2026/tillsyn/A 4421-2026 tillsynsbegäran.docx", "A 4421-2026")</f>
        <v/>
      </c>
      <c r="AD24">
        <f>HYPERLINK("https://klasma.github.io/Logging_2026/tillsynsmail/A 4421-2026 tillsynsbegäran mail.docx", "A 4421-2026")</f>
        <v/>
      </c>
    </row>
    <row r="25" ht="15" customHeight="1">
      <c r="A25" t="inlineStr">
        <is>
          <t>A 52436-2024</t>
        </is>
      </c>
      <c r="B25" t="inlineStr">
        <is>
          <t>avverkningsanmälan</t>
        </is>
      </c>
      <c r="C25" t="inlineStr">
        <is>
          <t>Föryngringsavverkning</t>
        </is>
      </c>
      <c r="D25" s="1" t="n">
        <v>45608</v>
      </c>
      <c r="E25" s="1" t="n">
        <v>46298</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16480-2026</t>
        </is>
      </c>
      <c r="B26" t="inlineStr">
        <is>
          <t>avverkningsanmälan</t>
        </is>
      </c>
      <c r="C26" t="inlineStr">
        <is>
          <t>Föryngringsavverkning</t>
        </is>
      </c>
      <c r="D26" s="1" t="n">
        <v>46112</v>
      </c>
      <c r="E26" s="1" t="n">
        <v>46298</v>
      </c>
      <c r="F26" t="inlineStr">
        <is>
          <t>DALARNAS LÄN</t>
        </is>
      </c>
      <c r="G26" t="inlineStr">
        <is>
          <t>GAGNEF</t>
        </is>
      </c>
      <c r="I26" t="n">
        <v>0.9</v>
      </c>
      <c r="J26" t="n">
        <v>0</v>
      </c>
      <c r="K26" t="n">
        <v>1</v>
      </c>
      <c r="L26" t="n">
        <v>1</v>
      </c>
      <c r="M26" t="n">
        <v>0</v>
      </c>
      <c r="N26" t="n">
        <v>0</v>
      </c>
      <c r="O26" t="n">
        <v>0</v>
      </c>
      <c r="P26" t="n">
        <v>0</v>
      </c>
      <c r="Q26" t="n">
        <v>1</v>
      </c>
      <c r="R26" t="n">
        <v>0</v>
      </c>
      <c r="S26" t="n">
        <v>2</v>
      </c>
      <c r="T26" t="n">
        <v>2</v>
      </c>
      <c r="U26" t="n">
        <v>0</v>
      </c>
      <c r="V26" s="2" t="inlineStr">
        <is>
          <t>Backnopping
Blodvaxing</t>
        </is>
      </c>
      <c r="W26">
        <f>HYPERLINK("https://klasma.github.io/Logging_2026/artfynd/A 16480-2026 artfynd.xlsx", "A 16480-2026")</f>
        <v/>
      </c>
      <c r="X26">
        <f>HYPERLINK("https://klasma.github.io/Logging_2026/kartor/A 16480-2026 karta.png", "A 16480-2026")</f>
        <v/>
      </c>
      <c r="Y26">
        <f>HYPERLINK("https://klasma.github.io/Logging_2026/kartor_geotiff/A 16480-2026 georefererad karta.tif", "A 16480-2026")</f>
        <v/>
      </c>
      <c r="AA26">
        <f>HYPERLINK("https://klasma.github.io/Logging_2026/klagomål/A 16480-2026 FSC-klagomål.docx", "A 16480-2026")</f>
        <v/>
      </c>
      <c r="AB26">
        <f>HYPERLINK("https://klasma.github.io/Logging_2026/klagomålsmail/A 16480-2026 FSC-klagomål mail.docx", "A 16480-2026")</f>
        <v/>
      </c>
      <c r="AC26">
        <f>HYPERLINK("https://klasma.github.io/Logging_2026/tillsyn/A 16480-2026 tillsynsbegäran.docx", "A 16480-2026")</f>
        <v/>
      </c>
      <c r="AD26">
        <f>HYPERLINK("https://klasma.github.io/Logging_2026/tillsynsmail/A 16480-2026 tillsynsbegäran mail.docx", "A 16480-2026")</f>
        <v/>
      </c>
    </row>
    <row r="27" ht="15" customHeight="1">
      <c r="A27" t="inlineStr">
        <is>
          <t>A 34418-2025</t>
        </is>
      </c>
      <c r="B27" t="inlineStr">
        <is>
          <t>avverkningsanmälan</t>
        </is>
      </c>
      <c r="C27" t="inlineStr">
        <is>
          <t>Föryngringsavverkning</t>
        </is>
      </c>
      <c r="D27" s="1" t="n">
        <v>45846</v>
      </c>
      <c r="E27" s="1" t="n">
        <v>46298</v>
      </c>
      <c r="F27" t="inlineStr">
        <is>
          <t>DALARNAS LÄN</t>
        </is>
      </c>
      <c r="G27" t="inlineStr">
        <is>
          <t>GAGNEF</t>
        </is>
      </c>
      <c r="I27" t="n">
        <v>2.3</v>
      </c>
      <c r="J27" t="n">
        <v>0</v>
      </c>
      <c r="K27" t="n">
        <v>1</v>
      </c>
      <c r="L27" t="n">
        <v>1</v>
      </c>
      <c r="M27" t="n">
        <v>0</v>
      </c>
      <c r="N27" t="n">
        <v>0</v>
      </c>
      <c r="O27" t="n">
        <v>0</v>
      </c>
      <c r="P27" t="n">
        <v>0</v>
      </c>
      <c r="Q27" t="n">
        <v>1</v>
      </c>
      <c r="R27" t="n">
        <v>0</v>
      </c>
      <c r="S27" t="n">
        <v>2</v>
      </c>
      <c r="T27" t="n">
        <v>4</v>
      </c>
      <c r="U27" t="n">
        <v>0</v>
      </c>
      <c r="V27" s="2" t="inlineStr">
        <is>
          <t>Mörk kolflarnlav
Stuplav</t>
        </is>
      </c>
      <c r="W27">
        <f>HYPERLINK("https://klasma.github.io/Logging_2026/artfynd/A 34418-2025 artfynd.xlsx", "A 34418-2025")</f>
        <v/>
      </c>
      <c r="X27">
        <f>HYPERLINK("https://klasma.github.io/Logging_2026/kartor/A 34418-2025 karta.png", "A 34418-2025")</f>
        <v/>
      </c>
      <c r="Y27">
        <f>HYPERLINK("https://klasma.github.io/Logging_2026/kartor_geotiff/A 34418-2025 georefererad karta.tif", "A 34418-2025")</f>
        <v/>
      </c>
      <c r="AA27">
        <f>HYPERLINK("https://klasma.github.io/Logging_2026/klagomål/A 34418-2025 FSC-klagomål.docx", "A 34418-2025")</f>
        <v/>
      </c>
      <c r="AB27">
        <f>HYPERLINK("https://klasma.github.io/Logging_2026/klagomålsmail/A 34418-2025 FSC-klagomål mail.docx", "A 34418-2025")</f>
        <v/>
      </c>
      <c r="AC27">
        <f>HYPERLINK("https://klasma.github.io/Logging_2026/tillsyn/A 34418-2025 tillsynsbegäran.docx", "A 34418-2025")</f>
        <v/>
      </c>
      <c r="AD27">
        <f>HYPERLINK("https://klasma.github.io/Logging_2026/tillsynsmail/A 34418-2025 tillsynsbegäran mail.docx", "A 34418-2025")</f>
        <v/>
      </c>
    </row>
    <row r="28" ht="15" customHeight="1">
      <c r="A28" t="inlineStr">
        <is>
          <t>A 3125-2026</t>
        </is>
      </c>
      <c r="B28" t="inlineStr">
        <is>
          <t>avverkningsanmälan</t>
        </is>
      </c>
      <c r="C28" t="inlineStr">
        <is>
          <t>Föryngringsavverkning</t>
        </is>
      </c>
      <c r="D28" s="1" t="n">
        <v>46041</v>
      </c>
      <c r="E28" s="1" t="n">
        <v>46298</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13950-2026</t>
        </is>
      </c>
      <c r="B29" t="inlineStr">
        <is>
          <t>avverkningsanmälan</t>
        </is>
      </c>
      <c r="C29" t="inlineStr">
        <is>
          <t>Föryngringsavverkning</t>
        </is>
      </c>
      <c r="D29" s="1" t="n">
        <v>46098</v>
      </c>
      <c r="E29" s="1" t="n">
        <v>46298</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47815-2024</t>
        </is>
      </c>
      <c r="B30" t="inlineStr">
        <is>
          <t>avverkningsanmälan</t>
        </is>
      </c>
      <c r="C30" t="inlineStr">
        <is>
          <t>Föryngringsavverkning</t>
        </is>
      </c>
      <c r="D30" s="1" t="n">
        <v>45588</v>
      </c>
      <c r="E30" s="1" t="n">
        <v>46298</v>
      </c>
      <c r="F30" t="inlineStr">
        <is>
          <t>DALARNAS LÄN</t>
        </is>
      </c>
      <c r="G30" t="inlineStr">
        <is>
          <t>GAGNEF</t>
        </is>
      </c>
      <c r="I30" t="n">
        <v>1.6</v>
      </c>
      <c r="J30" t="n">
        <v>1</v>
      </c>
      <c r="K30" t="n">
        <v>1</v>
      </c>
      <c r="L30" t="n">
        <v>1</v>
      </c>
      <c r="M30" t="n">
        <v>0</v>
      </c>
      <c r="N30" t="n">
        <v>0</v>
      </c>
      <c r="O30" t="n">
        <v>0</v>
      </c>
      <c r="P30" t="n">
        <v>0</v>
      </c>
      <c r="Q30" t="n">
        <v>1</v>
      </c>
      <c r="R30" t="n">
        <v>0</v>
      </c>
      <c r="S30" t="n">
        <v>2</v>
      </c>
      <c r="T30" t="n">
        <v>3</v>
      </c>
      <c r="U30" t="n">
        <v>3</v>
      </c>
      <c r="V30" s="2" t="inlineStr">
        <is>
          <t>Tretåig hackspett
Bollvitmossa</t>
        </is>
      </c>
      <c r="W30">
        <f>HYPERLINK("https://klasma.github.io/Logging_2026/artfynd/A 47815-2024 artfynd.xlsx", "A 47815-2024")</f>
        <v/>
      </c>
      <c r="X30">
        <f>HYPERLINK("https://klasma.github.io/Logging_2026/kartor/A 47815-2024 karta.png", "A 47815-2024")</f>
        <v/>
      </c>
      <c r="Y30">
        <f>HYPERLINK("https://klasma.github.io/Logging_2026/kartor_geotiff/A 47815-2024 georefererad karta.tif", "A 47815-2024")</f>
        <v/>
      </c>
      <c r="AA30">
        <f>HYPERLINK("https://klasma.github.io/Logging_2026/klagomål/A 47815-2024 FSC-klagomål.docx", "A 47815-2024")</f>
        <v/>
      </c>
      <c r="AB30">
        <f>HYPERLINK("https://klasma.github.io/Logging_2026/klagomålsmail/A 47815-2024 FSC-klagomål mail.docx", "A 47815-2024")</f>
        <v/>
      </c>
      <c r="AC30">
        <f>HYPERLINK("https://klasma.github.io/Logging_2026/tillsyn/A 47815-2024 tillsynsbegäran.docx", "A 47815-2024")</f>
        <v/>
      </c>
      <c r="AD30">
        <f>HYPERLINK("https://klasma.github.io/Logging_2026/tillsynsmail/A 47815-2024 tillsynsbegäran mail.docx", "A 47815-2024")</f>
        <v/>
      </c>
      <c r="AE30">
        <f>HYPERLINK("https://klasma.github.io/Logging_2026/fåglar/A 47815-2024 prioriterade fågelarter.docx", "A 47815-2024")</f>
        <v/>
      </c>
    </row>
    <row r="31" ht="15" customHeight="1">
      <c r="A31" t="inlineStr">
        <is>
          <t>A 35464-2025</t>
        </is>
      </c>
      <c r="B31" t="inlineStr">
        <is>
          <t>avverkningsanmälan</t>
        </is>
      </c>
      <c r="C31" t="inlineStr">
        <is>
          <t>Föryngringsavverkning</t>
        </is>
      </c>
      <c r="D31" s="1" t="n">
        <v>45855</v>
      </c>
      <c r="E31" s="1" t="n">
        <v>46298</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34513-2026</t>
        </is>
      </c>
      <c r="B32" t="inlineStr">
        <is>
          <t>avverkningsanmälan</t>
        </is>
      </c>
      <c r="C32" t="inlineStr">
        <is>
          <t>Föryngringsavverkning</t>
        </is>
      </c>
      <c r="D32" s="1" t="n">
        <v>46255</v>
      </c>
      <c r="E32" s="1" t="n">
        <v>46298</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S 2400-2023</t>
        </is>
      </c>
      <c r="B33" t="inlineStr">
        <is>
          <t>samrådsanmälan</t>
        </is>
      </c>
      <c r="C33" t="inlineStr">
        <is>
          <t>Annan skogsbruksåtgärd</t>
        </is>
      </c>
      <c r="D33" s="1" t="n">
        <v>45112</v>
      </c>
      <c r="E33" s="1" t="n">
        <v>46298</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46298</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1432-2026</t>
        </is>
      </c>
      <c r="B35" t="inlineStr">
        <is>
          <t>avverkningsanmälan</t>
        </is>
      </c>
      <c r="C35" t="inlineStr">
        <is>
          <t>Föryngringsavverkning</t>
        </is>
      </c>
      <c r="D35" s="1" t="n">
        <v>46032</v>
      </c>
      <c r="E35" s="1" t="n">
        <v>46298</v>
      </c>
      <c r="F35" t="inlineStr">
        <is>
          <t>DALARNAS LÄN</t>
        </is>
      </c>
      <c r="G35" t="inlineStr">
        <is>
          <t>GAGNEF</t>
        </is>
      </c>
      <c r="I35" t="n">
        <v>1.1</v>
      </c>
      <c r="J35" t="n">
        <v>0</v>
      </c>
      <c r="K35" t="n">
        <v>0</v>
      </c>
      <c r="L35" t="n">
        <v>1</v>
      </c>
      <c r="M35" t="n">
        <v>0</v>
      </c>
      <c r="N35" t="n">
        <v>0</v>
      </c>
      <c r="O35" t="n">
        <v>0</v>
      </c>
      <c r="P35" t="n">
        <v>0</v>
      </c>
      <c r="Q35" t="n">
        <v>1</v>
      </c>
      <c r="R35" t="n">
        <v>0</v>
      </c>
      <c r="S35" t="n">
        <v>1</v>
      </c>
      <c r="T35" t="n">
        <v>1</v>
      </c>
      <c r="U35" t="n">
        <v>0</v>
      </c>
      <c r="V35" s="2" t="inlineStr">
        <is>
          <t>Rosenticka</t>
        </is>
      </c>
      <c r="W35">
        <f>HYPERLINK("https://klasma.github.io/Logging_2026/artfynd/A 1432-2026 artfynd.xlsx", "A 1432-2026")</f>
        <v/>
      </c>
      <c r="X35">
        <f>HYPERLINK("https://klasma.github.io/Logging_2026/kartor/A 1432-2026 karta.png", "A 1432-2026")</f>
        <v/>
      </c>
      <c r="Y35">
        <f>HYPERLINK("https://klasma.github.io/Logging_2026/kartor_geotiff/A 1432-2026 georefererad karta.tif", "A 1432-2026")</f>
        <v/>
      </c>
      <c r="AA35">
        <f>HYPERLINK("https://klasma.github.io/Logging_2026/klagomål/A 1432-2026 FSC-klagomål.docx", "A 1432-2026")</f>
        <v/>
      </c>
      <c r="AB35">
        <f>HYPERLINK("https://klasma.github.io/Logging_2026/klagomålsmail/A 1432-2026 FSC-klagomål mail.docx", "A 1432-2026")</f>
        <v/>
      </c>
      <c r="AC35">
        <f>HYPERLINK("https://klasma.github.io/Logging_2026/tillsyn/A 1432-2026 tillsynsbegäran.docx", "A 1432-2026")</f>
        <v/>
      </c>
      <c r="AD35">
        <f>HYPERLINK("https://klasma.github.io/Logging_2026/tillsynsmail/A 1432-2026 tillsynsbegäran mail.docx", "A 1432-2026")</f>
        <v/>
      </c>
    </row>
    <row r="36" ht="15" customHeight="1">
      <c r="A36" t="inlineStr">
        <is>
          <t>A 2943-2026</t>
        </is>
      </c>
      <c r="B36" t="inlineStr">
        <is>
          <t>avverkningsanmälan</t>
        </is>
      </c>
      <c r="C36" t="inlineStr">
        <is>
          <t>Föryngringsavverkning</t>
        </is>
      </c>
      <c r="D36" s="1" t="n">
        <v>46038</v>
      </c>
      <c r="E36" s="1" t="n">
        <v>46298</v>
      </c>
      <c r="F36" t="inlineStr">
        <is>
          <t>DALARNAS LÄN</t>
        </is>
      </c>
      <c r="G36" t="inlineStr">
        <is>
          <t>GAGNEF</t>
        </is>
      </c>
      <c r="I36" t="n">
        <v>7.2</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HYPERLINK("https://klasma.github.io/Logging_2026/artfynd/A 2943-2026 artfynd.xlsx", "A 2943-2026")</f>
        <v/>
      </c>
      <c r="X36">
        <f>HYPERLINK("https://klasma.github.io/Logging_2026/kartor/A 2943-2026 karta.png", "A 2943-2026")</f>
        <v/>
      </c>
      <c r="Y36">
        <f>HYPERLINK("https://klasma.github.io/Logging_2026/kartor_geotiff/A 2943-2026 georefererad karta.tif", "A 2943-2026")</f>
        <v/>
      </c>
      <c r="AA36">
        <f>HYPERLINK("https://klasma.github.io/Logging_2026/klagomål/A 2943-2026 FSC-klagomål.docx", "A 2943-2026")</f>
        <v/>
      </c>
      <c r="AB36">
        <f>HYPERLINK("https://klasma.github.io/Logging_2026/klagomålsmail/A 2943-2026 FSC-klagomål mail.docx", "A 2943-2026")</f>
        <v/>
      </c>
      <c r="AC36">
        <f>HYPERLINK("https://klasma.github.io/Logging_2026/tillsyn/A 2943-2026 tillsynsbegäran.docx", "A 2943-2026")</f>
        <v/>
      </c>
      <c r="AD36">
        <f>HYPERLINK("https://klasma.github.io/Logging_2026/tillsynsmail/A 2943-2026 tillsynsbegäran mail.docx", "A 2943-2026")</f>
        <v/>
      </c>
    </row>
    <row r="37" ht="15" customHeight="1">
      <c r="A37" t="inlineStr">
        <is>
          <t>A 4238-2026</t>
        </is>
      </c>
      <c r="B37" t="inlineStr">
        <is>
          <t>avverkningsanmälan</t>
        </is>
      </c>
      <c r="C37" t="inlineStr">
        <is>
          <t>Föryngringsavverkning</t>
        </is>
      </c>
      <c r="D37" s="1" t="n">
        <v>46044</v>
      </c>
      <c r="E37" s="1" t="n">
        <v>46298</v>
      </c>
      <c r="F37" t="inlineStr">
        <is>
          <t>DALARNAS LÄN</t>
        </is>
      </c>
      <c r="G37" t="inlineStr">
        <is>
          <t>GAGNEF</t>
        </is>
      </c>
      <c r="I37" t="n">
        <v>1.5</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HYPERLINK("https://klasma.github.io/Logging_2026/artfynd/A 4238-2026 artfynd.xlsx", "A 4238-2026")</f>
        <v/>
      </c>
      <c r="X37">
        <f>HYPERLINK("https://klasma.github.io/Logging_2026/kartor/A 4238-2026 karta.png", "A 4238-2026")</f>
        <v/>
      </c>
      <c r="Y37">
        <f>HYPERLINK("https://klasma.github.io/Logging_2026/kartor_geotiff/A 4238-2026 georefererad karta.tif", "A 4238-2026")</f>
        <v/>
      </c>
      <c r="AA37">
        <f>HYPERLINK("https://klasma.github.io/Logging_2026/klagomål/A 4238-2026 FSC-klagomål.docx", "A 4238-2026")</f>
        <v/>
      </c>
      <c r="AB37">
        <f>HYPERLINK("https://klasma.github.io/Logging_2026/klagomålsmail/A 4238-2026 FSC-klagomål mail.docx", "A 4238-2026")</f>
        <v/>
      </c>
      <c r="AC37">
        <f>HYPERLINK("https://klasma.github.io/Logging_2026/tillsyn/A 4238-2026 tillsynsbegäran.docx", "A 4238-2026")</f>
        <v/>
      </c>
      <c r="AD37">
        <f>HYPERLINK("https://klasma.github.io/Logging_2026/tillsynsmail/A 4238-2026 tillsynsbegäran mail.docx", "A 4238-2026")</f>
        <v/>
      </c>
      <c r="AE37">
        <f>HYPERLINK("https://klasma.github.io/Logging_2026/fåglar/A 4238-2026 prioriterade fågelarter.docx", "A 4238-2026")</f>
        <v/>
      </c>
    </row>
    <row r="38" ht="15" customHeight="1">
      <c r="A38" t="inlineStr">
        <is>
          <t>A 28550-2024</t>
        </is>
      </c>
      <c r="B38" t="inlineStr">
        <is>
          <t>avverkningsanmälan</t>
        </is>
      </c>
      <c r="C38" t="inlineStr">
        <is>
          <t>Föryngringsavverkning</t>
        </is>
      </c>
      <c r="D38" s="1" t="n">
        <v>45478</v>
      </c>
      <c r="E38" s="1" t="n">
        <v>46298</v>
      </c>
      <c r="F38" t="inlineStr">
        <is>
          <t>DALARNAS LÄN</t>
        </is>
      </c>
      <c r="G38" t="inlineStr">
        <is>
          <t>GAGNEF</t>
        </is>
      </c>
      <c r="H38" t="inlineStr">
        <is>
          <t>Bergvik skog väst AB</t>
        </is>
      </c>
      <c r="I38" t="n">
        <v>2.6</v>
      </c>
      <c r="J38" t="n">
        <v>0</v>
      </c>
      <c r="K38" t="n">
        <v>0</v>
      </c>
      <c r="L38" t="n">
        <v>0</v>
      </c>
      <c r="M38" t="n">
        <v>1</v>
      </c>
      <c r="N38" t="n">
        <v>0</v>
      </c>
      <c r="O38" t="n">
        <v>0</v>
      </c>
      <c r="P38" t="n">
        <v>0</v>
      </c>
      <c r="Q38" t="n">
        <v>1</v>
      </c>
      <c r="R38" t="n">
        <v>1</v>
      </c>
      <c r="S38" t="n">
        <v>1</v>
      </c>
      <c r="T38" t="n">
        <v>1</v>
      </c>
      <c r="U38" t="n">
        <v>1</v>
      </c>
      <c r="V38" s="2" t="inlineStr">
        <is>
          <t>Citronporing</t>
        </is>
      </c>
      <c r="W38">
        <f>HYPERLINK("https://klasma.github.io/Logging_2026/artfynd/A 28550-2024 artfynd.xlsx", "A 28550-2024")</f>
        <v/>
      </c>
      <c r="X38">
        <f>HYPERLINK("https://klasma.github.io/Logging_2026/kartor/A 28550-2024 karta.png", "A 28550-2024")</f>
        <v/>
      </c>
      <c r="Y38">
        <f>HYPERLINK("https://klasma.github.io/Logging_2026/kartor_geotiff/A 28550-2024 georefererad karta.tif", "A 28550-2024")</f>
        <v/>
      </c>
      <c r="AA38">
        <f>HYPERLINK("https://klasma.github.io/Logging_2026/klagomål/A 28550-2024 FSC-klagomål.docx", "A 28550-2024")</f>
        <v/>
      </c>
      <c r="AB38">
        <f>HYPERLINK("https://klasma.github.io/Logging_2026/klagomålsmail/A 28550-2024 FSC-klagomål mail.docx", "A 28550-2024")</f>
        <v/>
      </c>
      <c r="AC38">
        <f>HYPERLINK("https://klasma.github.io/Logging_2026/tillsyn/A 28550-2024 tillsynsbegäran.docx", "A 28550-2024")</f>
        <v/>
      </c>
      <c r="AD38">
        <f>HYPERLINK("https://klasma.github.io/Logging_2026/tillsynsmail/A 28550-2024 tillsynsbegäran mail.docx", "A 28550-2024")</f>
        <v/>
      </c>
    </row>
    <row r="39" ht="15" customHeight="1">
      <c r="A39" t="inlineStr">
        <is>
          <t>A 17730-2026</t>
        </is>
      </c>
      <c r="B39" t="inlineStr">
        <is>
          <t>avverkningsanmälan</t>
        </is>
      </c>
      <c r="C39" t="inlineStr">
        <is>
          <t>Föryngringsavverkning</t>
        </is>
      </c>
      <c r="D39" s="1" t="n">
        <v>46121</v>
      </c>
      <c r="E39" s="1" t="n">
        <v>46298</v>
      </c>
      <c r="F39" t="inlineStr">
        <is>
          <t>DALARNAS LÄN</t>
        </is>
      </c>
      <c r="G39" t="inlineStr">
        <is>
          <t>GAGNEF</t>
        </is>
      </c>
      <c r="I39" t="n">
        <v>1</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HYPERLINK("https://klasma.github.io/Logging_2026/artfynd/A 17730-2026 artfynd.xlsx", "A 17730-2026")</f>
        <v/>
      </c>
      <c r="X39">
        <f>HYPERLINK("https://klasma.github.io/Logging_2026/kartor/A 17730-2026 karta.png", "A 17730-2026")</f>
        <v/>
      </c>
      <c r="Y39">
        <f>HYPERLINK("https://klasma.github.io/Logging_2026/kartor_geotiff/A 17730-2026 georefererad karta.tif", "A 17730-2026")</f>
        <v/>
      </c>
      <c r="AA39">
        <f>HYPERLINK("https://klasma.github.io/Logging_2026/klagomål/A 17730-2026 FSC-klagomål.docx", "A 17730-2026")</f>
        <v/>
      </c>
      <c r="AB39">
        <f>HYPERLINK("https://klasma.github.io/Logging_2026/klagomålsmail/A 17730-2026 FSC-klagomål mail.docx", "A 17730-2026")</f>
        <v/>
      </c>
      <c r="AC39">
        <f>HYPERLINK("https://klasma.github.io/Logging_2026/tillsyn/A 17730-2026 tillsynsbegäran.docx", "A 17730-2026")</f>
        <v/>
      </c>
      <c r="AD39">
        <f>HYPERLINK("https://klasma.github.io/Logging_2026/tillsynsmail/A 17730-2026 tillsynsbegäran mail.docx", "A 17730-2026")</f>
        <v/>
      </c>
    </row>
    <row r="40" ht="15" customHeight="1">
      <c r="A40" t="inlineStr">
        <is>
          <t>A 33102-2025</t>
        </is>
      </c>
      <c r="B40" t="inlineStr">
        <is>
          <t>avverkningsanmälan</t>
        </is>
      </c>
      <c r="C40" t="inlineStr">
        <is>
          <t>Föryngringsavverkning</t>
        </is>
      </c>
      <c r="D40" s="1" t="n">
        <v>45840</v>
      </c>
      <c r="E40" s="1" t="n">
        <v>46298</v>
      </c>
      <c r="F40" t="inlineStr">
        <is>
          <t>DALARNAS LÄN</t>
        </is>
      </c>
      <c r="G40" t="inlineStr">
        <is>
          <t>GAGNEF</t>
        </is>
      </c>
      <c r="I40" t="n">
        <v>2.1</v>
      </c>
      <c r="J40" t="n">
        <v>0</v>
      </c>
      <c r="K40" t="n">
        <v>1</v>
      </c>
      <c r="L40" t="n">
        <v>0</v>
      </c>
      <c r="M40" t="n">
        <v>0</v>
      </c>
      <c r="N40" t="n">
        <v>0</v>
      </c>
      <c r="O40" t="n">
        <v>0</v>
      </c>
      <c r="P40" t="n">
        <v>0</v>
      </c>
      <c r="Q40" t="n">
        <v>0</v>
      </c>
      <c r="R40" t="n">
        <v>0</v>
      </c>
      <c r="S40" t="n">
        <v>1</v>
      </c>
      <c r="T40" t="n">
        <v>1</v>
      </c>
      <c r="U40" t="n">
        <v>0</v>
      </c>
      <c r="V40" s="2" t="inlineStr">
        <is>
          <t>Bollvitmossa</t>
        </is>
      </c>
      <c r="W40">
        <f>HYPERLINK("https://klasma.github.io/Logging_2026/artfynd/A 33102-2025 artfynd.xlsx", "A 33102-2025")</f>
        <v/>
      </c>
      <c r="X40">
        <f>HYPERLINK("https://klasma.github.io/Logging_2026/kartor/A 33102-2025 karta.png", "A 33102-2025")</f>
        <v/>
      </c>
      <c r="Y40">
        <f>HYPERLINK("https://klasma.github.io/Logging_2026/kartor_geotiff/A 33102-2025 georefererad karta.tif", "A 33102-2025")</f>
        <v/>
      </c>
      <c r="AA40">
        <f>HYPERLINK("https://klasma.github.io/Logging_2026/klagomål/A 33102-2025 FSC-klagomål.docx", "A 33102-2025")</f>
        <v/>
      </c>
      <c r="AB40">
        <f>HYPERLINK("https://klasma.github.io/Logging_2026/klagomålsmail/A 33102-2025 FSC-klagomål mail.docx", "A 33102-2025")</f>
        <v/>
      </c>
      <c r="AC40">
        <f>HYPERLINK("https://klasma.github.io/Logging_2026/tillsyn/A 33102-2025 tillsynsbegäran.docx", "A 33102-2025")</f>
        <v/>
      </c>
      <c r="AD40">
        <f>HYPERLINK("https://klasma.github.io/Logging_2026/tillsynsmail/A 33102-2025 tillsynsbegäran mail.docx", "A 33102-2025")</f>
        <v/>
      </c>
    </row>
    <row r="41" ht="15" customHeight="1">
      <c r="A41" t="inlineStr">
        <is>
          <t>A 64510-2021</t>
        </is>
      </c>
      <c r="B41" t="inlineStr">
        <is>
          <t>avverkningsanmälan</t>
        </is>
      </c>
      <c r="C41" t="inlineStr">
        <is>
          <t>Avverkning för att bevara och utveckla /försöksver</t>
        </is>
      </c>
      <c r="D41" s="1" t="n">
        <v>44511</v>
      </c>
      <c r="E41" s="1" t="n">
        <v>46298</v>
      </c>
      <c r="F41" t="inlineStr">
        <is>
          <t>DALARNAS LÄN</t>
        </is>
      </c>
      <c r="G41" t="inlineStr">
        <is>
          <t>GAGNEF</t>
        </is>
      </c>
      <c r="I41" t="n">
        <v>2.7</v>
      </c>
      <c r="J41" t="n">
        <v>0</v>
      </c>
      <c r="K41" t="n">
        <v>0</v>
      </c>
      <c r="L41" t="n">
        <v>1</v>
      </c>
      <c r="M41" t="n">
        <v>0</v>
      </c>
      <c r="N41" t="n">
        <v>0</v>
      </c>
      <c r="O41" t="n">
        <v>0</v>
      </c>
      <c r="P41" t="n">
        <v>0</v>
      </c>
      <c r="Q41" t="n">
        <v>1</v>
      </c>
      <c r="R41" t="n">
        <v>0</v>
      </c>
      <c r="S41" t="n">
        <v>1</v>
      </c>
      <c r="T41" t="n">
        <v>1</v>
      </c>
      <c r="U41" t="n">
        <v>0</v>
      </c>
      <c r="V41" s="2" t="inlineStr">
        <is>
          <t>Grönhjon</t>
        </is>
      </c>
      <c r="W41">
        <f>HYPERLINK("https://klasma.github.io/Logging_2026/artfynd/A 64510-2021 artfynd.xlsx", "A 64510-2021")</f>
        <v/>
      </c>
      <c r="X41">
        <f>HYPERLINK("https://klasma.github.io/Logging_2026/kartor/A 64510-2021 karta.png", "A 64510-2021")</f>
        <v/>
      </c>
      <c r="Y41">
        <f>HYPERLINK("https://klasma.github.io/Logging_2026/kartor_geotiff/A 64510-2021 georefererad karta.tif", "A 64510-2021")</f>
        <v/>
      </c>
      <c r="AA41">
        <f>HYPERLINK("https://klasma.github.io/Logging_2026/klagomål/A 64510-2021 FSC-klagomål.docx", "A 64510-2021")</f>
        <v/>
      </c>
      <c r="AB41">
        <f>HYPERLINK("https://klasma.github.io/Logging_2026/klagomålsmail/A 64510-2021 FSC-klagomål mail.docx", "A 64510-2021")</f>
        <v/>
      </c>
      <c r="AC41">
        <f>HYPERLINK("https://klasma.github.io/Logging_2026/tillsyn/A 64510-2021 tillsynsbegäran.docx", "A 64510-2021")</f>
        <v/>
      </c>
      <c r="AD41">
        <f>HYPERLINK("https://klasma.github.io/Logging_2026/tillsynsmail/A 64510-2021 tillsynsbegäran mail.docx", "A 64510-2021")</f>
        <v/>
      </c>
    </row>
    <row r="42" ht="15" customHeight="1">
      <c r="A42" t="inlineStr">
        <is>
          <t>A 34313-2025</t>
        </is>
      </c>
      <c r="B42" t="inlineStr">
        <is>
          <t>avverkningsanmälan</t>
        </is>
      </c>
      <c r="C42" t="inlineStr">
        <is>
          <t>Föryngringsavverkning</t>
        </is>
      </c>
      <c r="D42" s="1" t="n">
        <v>45846</v>
      </c>
      <c r="E42" s="1" t="n">
        <v>46298</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22137-2026</t>
        </is>
      </c>
      <c r="B43" t="inlineStr">
        <is>
          <t>avverkningsanmälan</t>
        </is>
      </c>
      <c r="C43" t="inlineStr">
        <is>
          <t>Föryngringsavverkning</t>
        </is>
      </c>
      <c r="D43" s="1" t="n">
        <v>46153</v>
      </c>
      <c r="E43" s="1" t="n">
        <v>46298</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17219-2026</t>
        </is>
      </c>
      <c r="B44" t="inlineStr">
        <is>
          <t>avverkningsanmälan</t>
        </is>
      </c>
      <c r="C44" t="inlineStr">
        <is>
          <t>Föryngringsavverkning</t>
        </is>
      </c>
      <c r="D44" s="1" t="n">
        <v>46119</v>
      </c>
      <c r="E44" s="1" t="n">
        <v>46298</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28191-2026</t>
        </is>
      </c>
      <c r="B45" t="inlineStr">
        <is>
          <t>avverkningsanmälan</t>
        </is>
      </c>
      <c r="C45" t="inlineStr">
        <is>
          <t>Föryngringsavverkning</t>
        </is>
      </c>
      <c r="D45" s="1" t="n">
        <v>46195</v>
      </c>
      <c r="E45" s="1" t="n">
        <v>46298</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46298</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19046-2025</t>
        </is>
      </c>
      <c r="B47" t="inlineStr">
        <is>
          <t>avverkningsanmälan</t>
        </is>
      </c>
      <c r="C47" t="inlineStr">
        <is>
          <t>Föryngringsavverkning</t>
        </is>
      </c>
      <c r="D47" s="1" t="n">
        <v>45764</v>
      </c>
      <c r="E47" s="1" t="n">
        <v>46298</v>
      </c>
      <c r="F47" t="inlineStr">
        <is>
          <t>DALARNAS LÄN</t>
        </is>
      </c>
      <c r="G47" t="inlineStr">
        <is>
          <t>GAGNEF</t>
        </is>
      </c>
      <c r="I47" t="n">
        <v>20.4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HYPERLINK("https://klasma.github.io/Logging_2026/artfynd/A 19046-2025 artfynd.xlsx", "A 19046-2025")</f>
        <v/>
      </c>
      <c r="X47">
        <f>HYPERLINK("https://klasma.github.io/Logging_2026/kartor/A 19046-2025 karta.png", "A 19046-2025")</f>
        <v/>
      </c>
      <c r="Y47">
        <f>HYPERLINK("https://klasma.github.io/Logging_2026/kartor_geotiff/A 19046-2025 georefererad karta.tif", "A 19046-2025")</f>
        <v/>
      </c>
      <c r="AA47">
        <f>HYPERLINK("https://klasma.github.io/Logging_2026/klagomål/A 19046-2025 FSC-klagomål.docx", "A 19046-2025")</f>
        <v/>
      </c>
      <c r="AB47">
        <f>HYPERLINK("https://klasma.github.io/Logging_2026/klagomålsmail/A 19046-2025 FSC-klagomål mail.docx", "A 19046-2025")</f>
        <v/>
      </c>
      <c r="AC47">
        <f>HYPERLINK("https://klasma.github.io/Logging_2026/tillsyn/A 19046-2025 tillsynsbegäran.docx", "A 19046-2025")</f>
        <v/>
      </c>
      <c r="AD47">
        <f>HYPERLINK("https://klasma.github.io/Logging_2026/tillsynsmail/A 19046-2025 tillsynsbegäran mail.docx", "A 19046-2025")</f>
        <v/>
      </c>
    </row>
    <row r="48" ht="15" customHeight="1">
      <c r="A48" t="inlineStr">
        <is>
          <t>A 34804-2026</t>
        </is>
      </c>
      <c r="B48" t="inlineStr">
        <is>
          <t>avverkningsanmälan</t>
        </is>
      </c>
      <c r="C48" t="inlineStr">
        <is>
          <t>Föryngringsavverkning</t>
        </is>
      </c>
      <c r="D48" s="1" t="n">
        <v>46258</v>
      </c>
      <c r="E48" s="1" t="n">
        <v>46298</v>
      </c>
      <c r="F48" t="inlineStr">
        <is>
          <t>DALARNAS LÄN</t>
        </is>
      </c>
      <c r="G48" t="inlineStr">
        <is>
          <t>GAGNEF</t>
        </is>
      </c>
      <c r="I48" t="n">
        <v>1.3</v>
      </c>
      <c r="J48" t="n">
        <v>1</v>
      </c>
      <c r="K48" t="n">
        <v>0</v>
      </c>
      <c r="L48" t="n">
        <v>0</v>
      </c>
      <c r="M48" t="n">
        <v>0</v>
      </c>
      <c r="N48" t="n">
        <v>0</v>
      </c>
      <c r="O48" t="n">
        <v>0</v>
      </c>
      <c r="P48" t="n">
        <v>0</v>
      </c>
      <c r="Q48" t="n">
        <v>0</v>
      </c>
      <c r="R48" t="n">
        <v>0</v>
      </c>
      <c r="S48" t="n">
        <v>1</v>
      </c>
      <c r="T48" t="n">
        <v>1</v>
      </c>
      <c r="U48" t="n">
        <v>0</v>
      </c>
      <c r="V48" s="2" t="inlineStr">
        <is>
          <t>Mindre vattensalamander</t>
        </is>
      </c>
      <c r="W48">
        <f>HYPERLINK("https://klasma.github.io/Logging_2026/artfynd/A 34804-2026 artfynd.xlsx", "A 34804-2026")</f>
        <v/>
      </c>
      <c r="X48">
        <f>HYPERLINK("https://klasma.github.io/Logging_2026/kartor/A 34804-2026 karta.png", "A 34804-2026")</f>
        <v/>
      </c>
      <c r="Y48">
        <f>HYPERLINK("https://klasma.github.io/Logging_2026/kartor_geotiff/A 34804-2026 georefererad karta.tif", "A 34804-2026")</f>
        <v/>
      </c>
      <c r="AA48">
        <f>HYPERLINK("https://klasma.github.io/Logging_2026/klagomål/A 34804-2026 FSC-klagomål.docx", "A 34804-2026")</f>
        <v/>
      </c>
      <c r="AB48">
        <f>HYPERLINK("https://klasma.github.io/Logging_2026/klagomålsmail/A 34804-2026 FSC-klagomål mail.docx", "A 34804-2026")</f>
        <v/>
      </c>
      <c r="AC48">
        <f>HYPERLINK("https://klasma.github.io/Logging_2026/tillsyn/A 34804-2026 tillsynsbegäran.docx", "A 34804-2026")</f>
        <v/>
      </c>
      <c r="AD48">
        <f>HYPERLINK("https://klasma.github.io/Logging_2026/tillsynsmail/A 34804-2026 tillsynsbegäran mail.docx", "A 34804-2026")</f>
        <v/>
      </c>
    </row>
    <row r="49" ht="15" customHeight="1">
      <c r="A49" t="inlineStr">
        <is>
          <t>A 32700-2026</t>
        </is>
      </c>
      <c r="B49" t="inlineStr">
        <is>
          <t>avverkningsanmälan</t>
        </is>
      </c>
      <c r="C49" t="inlineStr">
        <is>
          <t>Avverkning för att bevara och utveckla /försöksver</t>
        </is>
      </c>
      <c r="D49" s="1" t="n">
        <v>46240</v>
      </c>
      <c r="E49" s="1" t="n">
        <v>46298</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A 48805-2024</t>
        </is>
      </c>
      <c r="B50" t="inlineStr">
        <is>
          <t>avverkningsanmälan</t>
        </is>
      </c>
      <c r="C50" t="inlineStr">
        <is>
          <t>Föryngringsavverkning</t>
        </is>
      </c>
      <c r="D50" s="1" t="n">
        <v>45593</v>
      </c>
      <c r="E50" s="1" t="n">
        <v>46298</v>
      </c>
      <c r="F50" t="inlineStr">
        <is>
          <t>DALARNAS LÄN</t>
        </is>
      </c>
      <c r="G50" t="inlineStr">
        <is>
          <t>GAGNEF</t>
        </is>
      </c>
      <c r="I50" t="n">
        <v>0.4</v>
      </c>
      <c r="J50" t="n">
        <v>1</v>
      </c>
      <c r="K50" t="n">
        <v>0</v>
      </c>
      <c r="L50" t="n">
        <v>1</v>
      </c>
      <c r="M50" t="n">
        <v>0</v>
      </c>
      <c r="N50" t="n">
        <v>0</v>
      </c>
      <c r="O50" t="n">
        <v>0</v>
      </c>
      <c r="P50" t="n">
        <v>0</v>
      </c>
      <c r="Q50" t="n">
        <v>1</v>
      </c>
      <c r="R50" t="n">
        <v>0</v>
      </c>
      <c r="S50" t="n">
        <v>1</v>
      </c>
      <c r="T50" t="n">
        <v>1</v>
      </c>
      <c r="U50" t="n">
        <v>0</v>
      </c>
      <c r="V50" s="2" t="inlineStr">
        <is>
          <t>Nordfladdermus</t>
        </is>
      </c>
      <c r="W50">
        <f>HYPERLINK("https://klasma.github.io/Logging_2026/artfynd/A 48805-2024 artfynd.xlsx", "A 48805-2024")</f>
        <v/>
      </c>
      <c r="X50">
        <f>HYPERLINK("https://klasma.github.io/Logging_2026/kartor/A 48805-2024 karta.png", "A 48805-2024")</f>
        <v/>
      </c>
      <c r="Y50">
        <f>HYPERLINK("https://klasma.github.io/Logging_2026/kartor_geotiff/A 48805-2024 georefererad karta.tif", "A 48805-2024")</f>
        <v/>
      </c>
      <c r="AA50">
        <f>HYPERLINK("https://klasma.github.io/Logging_2026/klagomål/A 48805-2024 FSC-klagomål.docx", "A 48805-2024")</f>
        <v/>
      </c>
      <c r="AB50">
        <f>HYPERLINK("https://klasma.github.io/Logging_2026/klagomålsmail/A 48805-2024 FSC-klagomål mail.docx", "A 48805-2024")</f>
        <v/>
      </c>
      <c r="AC50">
        <f>HYPERLINK("https://klasma.github.io/Logging_2026/tillsyn/A 48805-2024 tillsynsbegäran.docx", "A 48805-2024")</f>
        <v/>
      </c>
      <c r="AD50">
        <f>HYPERLINK("https://klasma.github.io/Logging_2026/tillsynsmail/A 48805-2024 tillsynsbegäran mail.docx", "A 48805-2024")</f>
        <v/>
      </c>
    </row>
    <row r="51" ht="15" customHeight="1">
      <c r="A51" t="inlineStr">
        <is>
          <t>A 11285-2025</t>
        </is>
      </c>
      <c r="B51" t="inlineStr">
        <is>
          <t>avverkningsanmälan</t>
        </is>
      </c>
      <c r="C51" t="inlineStr">
        <is>
          <t>Föryngringsavverkning</t>
        </is>
      </c>
      <c r="D51" s="1" t="n">
        <v>45726</v>
      </c>
      <c r="E51" s="1" t="n">
        <v>46298</v>
      </c>
      <c r="F51" t="inlineStr">
        <is>
          <t>DALARNAS LÄN</t>
        </is>
      </c>
      <c r="G51" t="inlineStr">
        <is>
          <t>GAGNEF</t>
        </is>
      </c>
      <c r="I51" t="n">
        <v>12.2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HYPERLINK("https://klasma.github.io/Logging_2026/artfynd/A 11285-2025 artfynd.xlsx", "A 11285-2025")</f>
        <v/>
      </c>
      <c r="X51">
        <f>HYPERLINK("https://klasma.github.io/Logging_2026/kartor/A 11285-2025 karta.png", "A 11285-2025")</f>
        <v/>
      </c>
      <c r="Y51">
        <f>HYPERLINK("https://klasma.github.io/Logging_2026/kartor_geotiff/A 11285-2025 georefererad karta.tif", "A 11285-2025")</f>
        <v/>
      </c>
      <c r="AA51">
        <f>HYPERLINK("https://klasma.github.io/Logging_2026/klagomål/A 11285-2025 FSC-klagomål.docx", "A 11285-2025")</f>
        <v/>
      </c>
      <c r="AB51">
        <f>HYPERLINK("https://klasma.github.io/Logging_2026/klagomålsmail/A 11285-2025 FSC-klagomål mail.docx", "A 11285-2025")</f>
        <v/>
      </c>
      <c r="AC51">
        <f>HYPERLINK("https://klasma.github.io/Logging_2026/tillsyn/A 11285-2025 tillsynsbegäran.docx", "A 11285-2025")</f>
        <v/>
      </c>
      <c r="AD51">
        <f>HYPERLINK("https://klasma.github.io/Logging_2026/tillsynsmail/A 11285-2025 tillsynsbegäran mail.docx", "A 11285-2025")</f>
        <v/>
      </c>
    </row>
    <row r="52" ht="15" customHeight="1">
      <c r="A52" t="inlineStr">
        <is>
          <t>S 2438-2022</t>
        </is>
      </c>
      <c r="B52" t="inlineStr">
        <is>
          <t>samrådsanmälan</t>
        </is>
      </c>
      <c r="C52" t="inlineStr">
        <is>
          <t>Annan skogsbruksåtgärd</t>
        </is>
      </c>
      <c r="D52" s="1" t="n">
        <v>44691</v>
      </c>
      <c r="E52" s="1" t="n">
        <v>46298</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46298</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46298</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46298</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46298</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46298</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46298</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46298</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46298</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46298</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46298</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46298</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46298</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46298</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46298</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46298</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46298</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46298</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46298</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46298</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46298</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46298</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20513-2023</t>
        </is>
      </c>
      <c r="B74" t="inlineStr">
        <is>
          <t>avverkningsanmälan</t>
        </is>
      </c>
      <c r="C74" t="inlineStr">
        <is>
          <t>Föryngringsavverkning</t>
        </is>
      </c>
      <c r="D74" s="1" t="n">
        <v>45057</v>
      </c>
      <c r="E74" s="1" t="n">
        <v>46298</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15686-2024</t>
        </is>
      </c>
      <c r="B75" t="inlineStr">
        <is>
          <t>avverkningsanmälan</t>
        </is>
      </c>
      <c r="C75" t="inlineStr">
        <is>
          <t>Föryngringsavverkning</t>
        </is>
      </c>
      <c r="D75" s="1" t="n">
        <v>45404</v>
      </c>
      <c r="E75" s="1" t="n">
        <v>46298</v>
      </c>
      <c r="F75" t="inlineStr">
        <is>
          <t>DALARNAS LÄN</t>
        </is>
      </c>
      <c r="G75" t="inlineStr">
        <is>
          <t>GAGNEF</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38074-2024</t>
        </is>
      </c>
      <c r="B76" t="inlineStr">
        <is>
          <t>avverkningsanmälan</t>
        </is>
      </c>
      <c r="C76" t="inlineStr">
        <is>
          <t>Föryngringsavverkning</t>
        </is>
      </c>
      <c r="D76" s="1" t="n">
        <v>45545</v>
      </c>
      <c r="E76" s="1" t="n">
        <v>46298</v>
      </c>
      <c r="F76" t="inlineStr">
        <is>
          <t>DALARNAS LÄN</t>
        </is>
      </c>
      <c r="G76" t="inlineStr">
        <is>
          <t>GAGNEF</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28307-2022</t>
        </is>
      </c>
      <c r="B77" t="inlineStr">
        <is>
          <t>avverkningsanmälan</t>
        </is>
      </c>
      <c r="C77" t="inlineStr">
        <is>
          <t>Föryngringsavverkning</t>
        </is>
      </c>
      <c r="D77" s="1" t="n">
        <v>44747</v>
      </c>
      <c r="E77" s="1" t="n">
        <v>46298</v>
      </c>
      <c r="F77" t="inlineStr">
        <is>
          <t>DALARNAS LÄN</t>
        </is>
      </c>
      <c r="G77" t="inlineStr">
        <is>
          <t>GAGNEF</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22273-2025</t>
        </is>
      </c>
      <c r="B78" t="inlineStr">
        <is>
          <t>avverkningsanmälan</t>
        </is>
      </c>
      <c r="C78" t="inlineStr">
        <is>
          <t>Föryngringsavverkning</t>
        </is>
      </c>
      <c r="D78" s="1" t="n">
        <v>45785</v>
      </c>
      <c r="E78" s="1" t="n">
        <v>46298</v>
      </c>
      <c r="F78" t="inlineStr">
        <is>
          <t>DALARNAS LÄN</t>
        </is>
      </c>
      <c r="G78" t="inlineStr">
        <is>
          <t>GAGNEF</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23488-2024</t>
        </is>
      </c>
      <c r="B79" t="inlineStr">
        <is>
          <t>avverkningsanmälan</t>
        </is>
      </c>
      <c r="C79" t="inlineStr">
        <is>
          <t>Föryngringsavverkning</t>
        </is>
      </c>
      <c r="D79" s="1" t="n">
        <v>45453</v>
      </c>
      <c r="E79" s="1" t="n">
        <v>46298</v>
      </c>
      <c r="F79" t="inlineStr">
        <is>
          <t>DALARNAS LÄN</t>
        </is>
      </c>
      <c r="G79" t="inlineStr">
        <is>
          <t>GAGNEF</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5835-2025</t>
        </is>
      </c>
      <c r="B80" t="inlineStr">
        <is>
          <t>avverkningsanmälan</t>
        </is>
      </c>
      <c r="C80" t="inlineStr">
        <is>
          <t>Föryngringsavverkning</t>
        </is>
      </c>
      <c r="D80" s="1" t="n">
        <v>45694</v>
      </c>
      <c r="E80" s="1" t="n">
        <v>46298</v>
      </c>
      <c r="F80" t="inlineStr">
        <is>
          <t>DALARNAS LÄN</t>
        </is>
      </c>
      <c r="G80" t="inlineStr">
        <is>
          <t>GAGNEF</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26622-2023</t>
        </is>
      </c>
      <c r="B81" t="inlineStr">
        <is>
          <t>avverkningsanmälan</t>
        </is>
      </c>
      <c r="C81" t="inlineStr">
        <is>
          <t>Avverkning för att bevara och utveckla /försöksver</t>
        </is>
      </c>
      <c r="D81" s="1" t="n">
        <v>45092</v>
      </c>
      <c r="E81" s="1" t="n">
        <v>46298</v>
      </c>
      <c r="F81" t="inlineStr">
        <is>
          <t>DALARNAS LÄN</t>
        </is>
      </c>
      <c r="G81" t="inlineStr">
        <is>
          <t>GAGNEF</t>
        </is>
      </c>
      <c r="H81" t="inlineStr">
        <is>
          <t>Bergvik skog väst AB</t>
        </is>
      </c>
      <c r="I81" t="n">
        <v>10.5</v>
      </c>
      <c r="J81" t="n">
        <v>0</v>
      </c>
      <c r="K81" t="n">
        <v>0</v>
      </c>
      <c r="L81" t="n">
        <v>0</v>
      </c>
      <c r="M81" t="n">
        <v>0</v>
      </c>
      <c r="N81" t="n">
        <v>0</v>
      </c>
      <c r="O81" t="n">
        <v>0</v>
      </c>
      <c r="P81" t="n">
        <v>0</v>
      </c>
      <c r="Q81" t="n">
        <v>0</v>
      </c>
      <c r="R81" t="n">
        <v>0</v>
      </c>
      <c r="S81" t="n">
        <v>0</v>
      </c>
      <c r="T81" t="n">
        <v>0</v>
      </c>
      <c r="U81" t="n">
        <v>0</v>
      </c>
      <c r="V81" s="2" t="inlineStr"/>
    </row>
    <row r="82" ht="15" customHeight="1">
      <c r="A82" t="inlineStr">
        <is>
          <t>A 4374-2024</t>
        </is>
      </c>
      <c r="B82" t="inlineStr">
        <is>
          <t>avverkningsanmälan</t>
        </is>
      </c>
      <c r="C82" t="inlineStr">
        <is>
          <t>Föryngringsavverkning</t>
        </is>
      </c>
      <c r="D82" s="1" t="n">
        <v>45326</v>
      </c>
      <c r="E82" s="1" t="n">
        <v>46298</v>
      </c>
      <c r="F82" t="inlineStr">
        <is>
          <t>DALARNAS LÄN</t>
        </is>
      </c>
      <c r="G82" t="inlineStr">
        <is>
          <t>GAGNEF</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17710-2023</t>
        </is>
      </c>
      <c r="B83" t="inlineStr">
        <is>
          <t>avverkningsanmälan</t>
        </is>
      </c>
      <c r="C83" t="inlineStr">
        <is>
          <t>Föryngringsavverkning</t>
        </is>
      </c>
      <c r="D83" s="1" t="n">
        <v>45037</v>
      </c>
      <c r="E83" s="1" t="n">
        <v>46298</v>
      </c>
      <c r="F83" t="inlineStr">
        <is>
          <t>DALARNAS LÄN</t>
        </is>
      </c>
      <c r="G83" t="inlineStr">
        <is>
          <t>GAGNEF</t>
        </is>
      </c>
      <c r="I83" t="n">
        <v>10.7</v>
      </c>
      <c r="J83" t="n">
        <v>0</v>
      </c>
      <c r="K83" t="n">
        <v>0</v>
      </c>
      <c r="L83" t="n">
        <v>0</v>
      </c>
      <c r="M83" t="n">
        <v>0</v>
      </c>
      <c r="N83" t="n">
        <v>0</v>
      </c>
      <c r="O83" t="n">
        <v>0</v>
      </c>
      <c r="P83" t="n">
        <v>0</v>
      </c>
      <c r="Q83" t="n">
        <v>0</v>
      </c>
      <c r="R83" t="n">
        <v>0</v>
      </c>
      <c r="S83" t="n">
        <v>0</v>
      </c>
      <c r="T83" t="n">
        <v>0</v>
      </c>
      <c r="U83" t="n">
        <v>0</v>
      </c>
      <c r="V83" s="2" t="inlineStr"/>
    </row>
    <row r="84" ht="15" customHeight="1">
      <c r="A84" t="inlineStr">
        <is>
          <t>A 322-2024</t>
        </is>
      </c>
      <c r="B84" t="inlineStr">
        <is>
          <t>avverkningsanmälan</t>
        </is>
      </c>
      <c r="C84" t="inlineStr">
        <is>
          <t>Föryngringsavverkning</t>
        </is>
      </c>
      <c r="D84" s="1" t="n">
        <v>45295</v>
      </c>
      <c r="E84" s="1" t="n">
        <v>46298</v>
      </c>
      <c r="F84" t="inlineStr">
        <is>
          <t>DALARNAS LÄN</t>
        </is>
      </c>
      <c r="G84" t="inlineStr">
        <is>
          <t>GAGNEF</t>
        </is>
      </c>
      <c r="I84" t="n">
        <v>11.1</v>
      </c>
      <c r="J84" t="n">
        <v>0</v>
      </c>
      <c r="K84" t="n">
        <v>0</v>
      </c>
      <c r="L84" t="n">
        <v>0</v>
      </c>
      <c r="M84" t="n">
        <v>0</v>
      </c>
      <c r="N84" t="n">
        <v>0</v>
      </c>
      <c r="O84" t="n">
        <v>0</v>
      </c>
      <c r="P84" t="n">
        <v>0</v>
      </c>
      <c r="Q84" t="n">
        <v>0</v>
      </c>
      <c r="R84" t="n">
        <v>0</v>
      </c>
      <c r="S84" t="n">
        <v>0</v>
      </c>
      <c r="T84" t="n">
        <v>0</v>
      </c>
      <c r="U84" t="n">
        <v>0</v>
      </c>
      <c r="V84" s="2" t="inlineStr"/>
    </row>
    <row r="85" ht="15" customHeight="1">
      <c r="A85" t="inlineStr">
        <is>
          <t>A 11680-2022</t>
        </is>
      </c>
      <c r="B85" t="inlineStr">
        <is>
          <t>avverkningsanmälan</t>
        </is>
      </c>
      <c r="C85" t="inlineStr">
        <is>
          <t>Föryngringsavverkning</t>
        </is>
      </c>
      <c r="D85" s="1" t="n">
        <v>44634</v>
      </c>
      <c r="E85" s="1" t="n">
        <v>46298</v>
      </c>
      <c r="F85" t="inlineStr">
        <is>
          <t>DALARNAS LÄN</t>
        </is>
      </c>
      <c r="G85" t="inlineStr">
        <is>
          <t>GAGNEF</t>
        </is>
      </c>
      <c r="I85" t="n">
        <v>7.8</v>
      </c>
      <c r="J85" t="n">
        <v>0</v>
      </c>
      <c r="K85" t="n">
        <v>0</v>
      </c>
      <c r="L85" t="n">
        <v>0</v>
      </c>
      <c r="M85" t="n">
        <v>0</v>
      </c>
      <c r="N85" t="n">
        <v>0</v>
      </c>
      <c r="O85" t="n">
        <v>0</v>
      </c>
      <c r="P85" t="n">
        <v>0</v>
      </c>
      <c r="Q85" t="n">
        <v>0</v>
      </c>
      <c r="R85" t="n">
        <v>0</v>
      </c>
      <c r="S85" t="n">
        <v>0</v>
      </c>
      <c r="T85" t="n">
        <v>0</v>
      </c>
      <c r="U85" t="n">
        <v>0</v>
      </c>
      <c r="V85" s="2" t="inlineStr"/>
    </row>
    <row r="86" ht="15" customHeight="1">
      <c r="A86" t="inlineStr">
        <is>
          <t>A 30957-2023</t>
        </is>
      </c>
      <c r="B86" t="inlineStr">
        <is>
          <t>avverkningsanmälan</t>
        </is>
      </c>
      <c r="C86" t="inlineStr">
        <is>
          <t>Avverkning för annat ändamål</t>
        </is>
      </c>
      <c r="D86" s="1" t="n">
        <v>45113</v>
      </c>
      <c r="E86" s="1" t="n">
        <v>46298</v>
      </c>
      <c r="F86" t="inlineStr">
        <is>
          <t>DALARNAS LÄN</t>
        </is>
      </c>
      <c r="G86" t="inlineStr">
        <is>
          <t>GAGNEF</t>
        </is>
      </c>
      <c r="H86" t="inlineStr">
        <is>
          <t>Bergvik skog väst AB</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54181-2025</t>
        </is>
      </c>
      <c r="B87" t="inlineStr">
        <is>
          <t>avverkningsanmälan</t>
        </is>
      </c>
      <c r="C87" t="inlineStr">
        <is>
          <t>Avverkning för annat ändamål</t>
        </is>
      </c>
      <c r="D87" s="1" t="n">
        <v>45964</v>
      </c>
      <c r="E87" s="1" t="n">
        <v>46298</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54178-2025</t>
        </is>
      </c>
      <c r="B88" t="inlineStr">
        <is>
          <t>avverkningsanmälan</t>
        </is>
      </c>
      <c r="C88" t="inlineStr">
        <is>
          <t>Avverkning för annat ändamål</t>
        </is>
      </c>
      <c r="D88" s="1" t="n">
        <v>45964</v>
      </c>
      <c r="E88" s="1" t="n">
        <v>46298</v>
      </c>
      <c r="F88" t="inlineStr">
        <is>
          <t>DALARNAS LÄN</t>
        </is>
      </c>
      <c r="G88" t="inlineStr">
        <is>
          <t>GAGNEF</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63184-2025</t>
        </is>
      </c>
      <c r="B89" t="inlineStr">
        <is>
          <t>avverkningsanmälan</t>
        </is>
      </c>
      <c r="C89" t="inlineStr">
        <is>
          <t>Föryngringsavverkning</t>
        </is>
      </c>
      <c r="D89" s="1" t="n">
        <v>46010</v>
      </c>
      <c r="E89" s="1" t="n">
        <v>46298</v>
      </c>
      <c r="F89" t="inlineStr">
        <is>
          <t>DALARNAS LÄN</t>
        </is>
      </c>
      <c r="G89" t="inlineStr">
        <is>
          <t>GAGNEF</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15629-2022</t>
        </is>
      </c>
      <c r="B90" t="inlineStr">
        <is>
          <t>avverkningsanmälan</t>
        </is>
      </c>
      <c r="C90" t="inlineStr">
        <is>
          <t>Föryngringsavverkning</t>
        </is>
      </c>
      <c r="D90" s="1" t="n">
        <v>44662</v>
      </c>
      <c r="E90" s="1" t="n">
        <v>46298</v>
      </c>
      <c r="F90" t="inlineStr">
        <is>
          <t>DALARNAS LÄN</t>
        </is>
      </c>
      <c r="G90" t="inlineStr">
        <is>
          <t>GAGNEF</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63707-2025</t>
        </is>
      </c>
      <c r="B91" t="inlineStr">
        <is>
          <t>avverkningsanmälan</t>
        </is>
      </c>
      <c r="C91" t="inlineStr">
        <is>
          <t>Föryngringsavverkning</t>
        </is>
      </c>
      <c r="D91" s="1" t="n">
        <v>46014</v>
      </c>
      <c r="E91" s="1" t="n">
        <v>46298</v>
      </c>
      <c r="F91" t="inlineStr">
        <is>
          <t>DALARNAS LÄN</t>
        </is>
      </c>
      <c r="G91" t="inlineStr">
        <is>
          <t>GAGNEF</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51496-2023</t>
        </is>
      </c>
      <c r="B92" t="inlineStr">
        <is>
          <t>avverkningsanmälan</t>
        </is>
      </c>
      <c r="C92" t="inlineStr">
        <is>
          <t>Föryngringsavverkning</t>
        </is>
      </c>
      <c r="D92" s="1" t="n">
        <v>45222</v>
      </c>
      <c r="E92" s="1" t="n">
        <v>46298</v>
      </c>
      <c r="F92" t="inlineStr">
        <is>
          <t>DALARNAS LÄN</t>
        </is>
      </c>
      <c r="G92" t="inlineStr">
        <is>
          <t>GAGNEF</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63796-2025</t>
        </is>
      </c>
      <c r="B93" t="inlineStr">
        <is>
          <t>avverkningsanmälan</t>
        </is>
      </c>
      <c r="C93" t="inlineStr">
        <is>
          <t>Föryngringsavverkning</t>
        </is>
      </c>
      <c r="D93" s="1" t="n">
        <v>46019</v>
      </c>
      <c r="E93" s="1" t="n">
        <v>46298</v>
      </c>
      <c r="F93" t="inlineStr">
        <is>
          <t>DALARNAS LÄN</t>
        </is>
      </c>
      <c r="G93" t="inlineStr">
        <is>
          <t>GAGNEF</t>
        </is>
      </c>
      <c r="I93" t="n">
        <v>12.8</v>
      </c>
      <c r="J93" t="n">
        <v>0</v>
      </c>
      <c r="K93" t="n">
        <v>0</v>
      </c>
      <c r="L93" t="n">
        <v>0</v>
      </c>
      <c r="M93" t="n">
        <v>0</v>
      </c>
      <c r="N93" t="n">
        <v>0</v>
      </c>
      <c r="O93" t="n">
        <v>0</v>
      </c>
      <c r="P93" t="n">
        <v>0</v>
      </c>
      <c r="Q93" t="n">
        <v>0</v>
      </c>
      <c r="R93" t="n">
        <v>0</v>
      </c>
      <c r="S93" t="n">
        <v>0</v>
      </c>
      <c r="T93" t="n">
        <v>0</v>
      </c>
      <c r="U93" t="n">
        <v>0</v>
      </c>
      <c r="V93" s="2" t="inlineStr"/>
    </row>
    <row r="94" ht="15" customHeight="1">
      <c r="A94" t="inlineStr">
        <is>
          <t>A 117-2026</t>
        </is>
      </c>
      <c r="B94" t="inlineStr">
        <is>
          <t>avverkningsanmälan</t>
        </is>
      </c>
      <c r="C94" t="inlineStr">
        <is>
          <t>Föryngringsavverkning</t>
        </is>
      </c>
      <c r="D94" s="1" t="n">
        <v>46024</v>
      </c>
      <c r="E94" s="1" t="n">
        <v>46298</v>
      </c>
      <c r="F94" t="inlineStr">
        <is>
          <t>DALARNAS LÄN</t>
        </is>
      </c>
      <c r="G94" t="inlineStr">
        <is>
          <t>GAGNEF</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120-2026</t>
        </is>
      </c>
      <c r="B95" t="inlineStr">
        <is>
          <t>avverkningsanmälan</t>
        </is>
      </c>
      <c r="C95" t="inlineStr">
        <is>
          <t>Föryngringsavverkning</t>
        </is>
      </c>
      <c r="D95" s="1" t="n">
        <v>46024</v>
      </c>
      <c r="E95" s="1" t="n">
        <v>46298</v>
      </c>
      <c r="F95" t="inlineStr">
        <is>
          <t>DALARNAS LÄN</t>
        </is>
      </c>
      <c r="G95" t="inlineStr">
        <is>
          <t>GAGNEF</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126-2026</t>
        </is>
      </c>
      <c r="B96" t="inlineStr">
        <is>
          <t>avverkningsanmälan</t>
        </is>
      </c>
      <c r="C96" t="inlineStr">
        <is>
          <t>Föryngringsavverkning</t>
        </is>
      </c>
      <c r="D96" s="1" t="n">
        <v>46024</v>
      </c>
      <c r="E96" s="1" t="n">
        <v>46298</v>
      </c>
      <c r="F96" t="inlineStr">
        <is>
          <t>DALARNAS LÄN</t>
        </is>
      </c>
      <c r="G96" t="inlineStr">
        <is>
          <t>GAGNEF</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55-2026</t>
        </is>
      </c>
      <c r="B97" t="inlineStr">
        <is>
          <t>avverkningsanmälan</t>
        </is>
      </c>
      <c r="C97" t="inlineStr">
        <is>
          <t>Föryngringsavverkning</t>
        </is>
      </c>
      <c r="D97" s="1" t="n">
        <v>46024</v>
      </c>
      <c r="E97" s="1" t="n">
        <v>46298</v>
      </c>
      <c r="F97" t="inlineStr">
        <is>
          <t>DALARNAS LÄN</t>
        </is>
      </c>
      <c r="G97" t="inlineStr">
        <is>
          <t>GAGNEF</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134-2026</t>
        </is>
      </c>
      <c r="B98" t="inlineStr">
        <is>
          <t>avverkningsanmälan</t>
        </is>
      </c>
      <c r="C98" t="inlineStr">
        <is>
          <t>Föryngringsavverkning</t>
        </is>
      </c>
      <c r="D98" s="1" t="n">
        <v>46024</v>
      </c>
      <c r="E98" s="1" t="n">
        <v>46298</v>
      </c>
      <c r="F98" t="inlineStr">
        <is>
          <t>DALARNAS LÄN</t>
        </is>
      </c>
      <c r="G98" t="inlineStr">
        <is>
          <t>GAGNEF</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131-2026</t>
        </is>
      </c>
      <c r="B99" t="inlineStr">
        <is>
          <t>avverkningsanmälan</t>
        </is>
      </c>
      <c r="C99" t="inlineStr">
        <is>
          <t>Föryngringsavverkning</t>
        </is>
      </c>
      <c r="D99" s="1" t="n">
        <v>46024</v>
      </c>
      <c r="E99" s="1" t="n">
        <v>46298</v>
      </c>
      <c r="F99" t="inlineStr">
        <is>
          <t>DALARNAS LÄN</t>
        </is>
      </c>
      <c r="G99" t="inlineStr">
        <is>
          <t>GAGNEF</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340-2026</t>
        </is>
      </c>
      <c r="B100" t="inlineStr">
        <is>
          <t>avverkningsanmälan</t>
        </is>
      </c>
      <c r="C100" t="inlineStr">
        <is>
          <t>Föryngringsavverkning</t>
        </is>
      </c>
      <c r="D100" s="1" t="n">
        <v>46027</v>
      </c>
      <c r="E100" s="1" t="n">
        <v>46298</v>
      </c>
      <c r="F100" t="inlineStr">
        <is>
          <t>DALARNAS LÄN</t>
        </is>
      </c>
      <c r="G100" t="inlineStr">
        <is>
          <t>GAGNEF</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1367-2026</t>
        </is>
      </c>
      <c r="B101" t="inlineStr">
        <is>
          <t>avverkningsanmälan</t>
        </is>
      </c>
      <c r="C101" t="inlineStr">
        <is>
          <t>Föryngringsavverkning</t>
        </is>
      </c>
      <c r="D101" s="1" t="n">
        <v>46031</v>
      </c>
      <c r="E101" s="1" t="n">
        <v>46298</v>
      </c>
      <c r="F101" t="inlineStr">
        <is>
          <t>DALARNAS LÄN</t>
        </is>
      </c>
      <c r="G101" t="inlineStr">
        <is>
          <t>GAGNEF</t>
        </is>
      </c>
      <c r="I101" t="n">
        <v>14.8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1276-2026</t>
        </is>
      </c>
      <c r="B102" t="inlineStr">
        <is>
          <t>avverkningsanmälan</t>
        </is>
      </c>
      <c r="C102" t="inlineStr">
        <is>
          <t>Föryngringsavverkning</t>
        </is>
      </c>
      <c r="D102" s="1" t="n">
        <v>46031</v>
      </c>
      <c r="E102" s="1" t="n">
        <v>46298</v>
      </c>
      <c r="F102" t="inlineStr">
        <is>
          <t>DALARNAS LÄN</t>
        </is>
      </c>
      <c r="G102" t="inlineStr">
        <is>
          <t>GAGNEF</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1411-2026</t>
        </is>
      </c>
      <c r="B103" t="inlineStr">
        <is>
          <t>avverkningsanmälan</t>
        </is>
      </c>
      <c r="C103" t="inlineStr">
        <is>
          <t>Föryngringsavverkning</t>
        </is>
      </c>
      <c r="D103" s="1" t="n">
        <v>46031</v>
      </c>
      <c r="E103" s="1" t="n">
        <v>46298</v>
      </c>
      <c r="F103" t="inlineStr">
        <is>
          <t>DALARNAS LÄN</t>
        </is>
      </c>
      <c r="G103" t="inlineStr">
        <is>
          <t>GAGNEF</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1100-2026</t>
        </is>
      </c>
      <c r="B104" t="inlineStr">
        <is>
          <t>avverkningsanmälan</t>
        </is>
      </c>
      <c r="C104" t="inlineStr">
        <is>
          <t>Föryngringsavverkning</t>
        </is>
      </c>
      <c r="D104" s="1" t="n">
        <v>46030</v>
      </c>
      <c r="E104" s="1" t="n">
        <v>46298</v>
      </c>
      <c r="F104" t="inlineStr">
        <is>
          <t>DALARNAS LÄN</t>
        </is>
      </c>
      <c r="G104" t="inlineStr">
        <is>
          <t>GAGNEF</t>
        </is>
      </c>
      <c r="I104" t="n">
        <v>10.7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1430-2026</t>
        </is>
      </c>
      <c r="B105" t="inlineStr">
        <is>
          <t>avverkningsanmälan</t>
        </is>
      </c>
      <c r="C105" t="inlineStr">
        <is>
          <t>Föryngringsavverkning</t>
        </is>
      </c>
      <c r="D105" s="1" t="n">
        <v>46032</v>
      </c>
      <c r="E105" s="1" t="n">
        <v>46298</v>
      </c>
      <c r="F105" t="inlineStr">
        <is>
          <t>DALARNAS LÄN</t>
        </is>
      </c>
      <c r="G105" t="inlineStr">
        <is>
          <t>GAGNEF</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1431-2026</t>
        </is>
      </c>
      <c r="B106" t="inlineStr">
        <is>
          <t>avverkningsanmälan</t>
        </is>
      </c>
      <c r="C106" t="inlineStr">
        <is>
          <t>Föryngringsavverkning</t>
        </is>
      </c>
      <c r="D106" s="1" t="n">
        <v>46032</v>
      </c>
      <c r="E106" s="1" t="n">
        <v>46298</v>
      </c>
      <c r="F106" t="inlineStr">
        <is>
          <t>DALARNAS LÄN</t>
        </is>
      </c>
      <c r="G106" t="inlineStr">
        <is>
          <t>GAGNEF</t>
        </is>
      </c>
      <c r="I106" t="n">
        <v>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1584-2026</t>
        </is>
      </c>
      <c r="B107" t="inlineStr">
        <is>
          <t>avverkningsanmälan</t>
        </is>
      </c>
      <c r="C107" t="inlineStr">
        <is>
          <t>Föryngringsavverkning</t>
        </is>
      </c>
      <c r="D107" s="1" t="n">
        <v>46034</v>
      </c>
      <c r="E107" s="1" t="n">
        <v>46298</v>
      </c>
      <c r="F107" t="inlineStr">
        <is>
          <t>DALARNAS LÄN</t>
        </is>
      </c>
      <c r="G107" t="inlineStr">
        <is>
          <t>GAGNEF</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20482-2024</t>
        </is>
      </c>
      <c r="B108" t="inlineStr">
        <is>
          <t>avverkningsanmälan</t>
        </is>
      </c>
      <c r="C108" t="inlineStr">
        <is>
          <t>Avverkning för att bevara och utveckla /försöksver</t>
        </is>
      </c>
      <c r="D108" s="1" t="n">
        <v>45435</v>
      </c>
      <c r="E108" s="1" t="n">
        <v>46298</v>
      </c>
      <c r="F108" t="inlineStr">
        <is>
          <t>DALARNAS LÄN</t>
        </is>
      </c>
      <c r="G108" t="inlineStr">
        <is>
          <t>GAGNEF</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42298-2025</t>
        </is>
      </c>
      <c r="B109" t="inlineStr">
        <is>
          <t>avverkningsanmälan</t>
        </is>
      </c>
      <c r="C109" t="inlineStr">
        <is>
          <t>Föryngringsavverkning</t>
        </is>
      </c>
      <c r="D109" s="1" t="n">
        <v>45904</v>
      </c>
      <c r="E109" s="1" t="n">
        <v>46298</v>
      </c>
      <c r="F109" t="inlineStr">
        <is>
          <t>DALARNAS LÄN</t>
        </is>
      </c>
      <c r="G109" t="inlineStr">
        <is>
          <t>GAGNEF</t>
        </is>
      </c>
      <c r="H109" t="inlineStr">
        <is>
          <t>Bergvik skog väst AB</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42303-2025</t>
        </is>
      </c>
      <c r="B110" t="inlineStr">
        <is>
          <t>avverkningsanmälan</t>
        </is>
      </c>
      <c r="C110" t="inlineStr">
        <is>
          <t>Föryngringsavverkning</t>
        </is>
      </c>
      <c r="D110" s="1" t="n">
        <v>45904</v>
      </c>
      <c r="E110" s="1" t="n">
        <v>46298</v>
      </c>
      <c r="F110" t="inlineStr">
        <is>
          <t>DALARNAS LÄN</t>
        </is>
      </c>
      <c r="G110" t="inlineStr">
        <is>
          <t>GAGNEF</t>
        </is>
      </c>
      <c r="H110" t="inlineStr">
        <is>
          <t>Bergvik skog väst AB</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51151-2023</t>
        </is>
      </c>
      <c r="B111" t="inlineStr">
        <is>
          <t>avverkningsanmälan</t>
        </is>
      </c>
      <c r="C111" t="inlineStr">
        <is>
          <t>Avverkning för att bevara och utveckla /försöksver</t>
        </is>
      </c>
      <c r="D111" s="1" t="n">
        <v>45219</v>
      </c>
      <c r="E111" s="1" t="n">
        <v>46298</v>
      </c>
      <c r="F111" t="inlineStr">
        <is>
          <t>DALARNAS LÄN</t>
        </is>
      </c>
      <c r="G111" t="inlineStr">
        <is>
          <t>GAGNEF</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17321-2024</t>
        </is>
      </c>
      <c r="B112" t="inlineStr">
        <is>
          <t>avverkningsanmälan</t>
        </is>
      </c>
      <c r="C112" t="inlineStr">
        <is>
          <t>Föryngringsavverkning</t>
        </is>
      </c>
      <c r="D112" s="1" t="n">
        <v>45414</v>
      </c>
      <c r="E112" s="1" t="n">
        <v>46298</v>
      </c>
      <c r="F112" t="inlineStr">
        <is>
          <t>DALARNAS LÄN</t>
        </is>
      </c>
      <c r="G112" t="inlineStr">
        <is>
          <t>GAGNEF</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3599-2026</t>
        </is>
      </c>
      <c r="B113" t="inlineStr">
        <is>
          <t>avverkningsanmälan</t>
        </is>
      </c>
      <c r="C113" t="inlineStr">
        <is>
          <t>Föryngringsavverkning</t>
        </is>
      </c>
      <c r="D113" s="1" t="n">
        <v>46042</v>
      </c>
      <c r="E113" s="1" t="n">
        <v>46298</v>
      </c>
      <c r="F113" t="inlineStr">
        <is>
          <t>DALARNAS LÄN</t>
        </is>
      </c>
      <c r="G113" t="inlineStr">
        <is>
          <t>GAGNEF</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3389-2026</t>
        </is>
      </c>
      <c r="B114" t="inlineStr">
        <is>
          <t>avverkningsanmälan</t>
        </is>
      </c>
      <c r="C114" t="inlineStr">
        <is>
          <t>Föryngringsavverkning</t>
        </is>
      </c>
      <c r="D114" s="1" t="n">
        <v>46042</v>
      </c>
      <c r="E114" s="1" t="n">
        <v>46298</v>
      </c>
      <c r="F114" t="inlineStr">
        <is>
          <t>DALARNAS LÄN</t>
        </is>
      </c>
      <c r="G114" t="inlineStr">
        <is>
          <t>GAGNEF</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43564-2025</t>
        </is>
      </c>
      <c r="B115" t="inlineStr">
        <is>
          <t>avverkningsanmälan</t>
        </is>
      </c>
      <c r="C115" t="inlineStr">
        <is>
          <t>Avverkning för annat ändamål</t>
        </is>
      </c>
      <c r="D115" s="1" t="n">
        <v>45911</v>
      </c>
      <c r="E115" s="1" t="n">
        <v>46298</v>
      </c>
      <c r="F115" t="inlineStr">
        <is>
          <t>DALARNAS LÄN</t>
        </is>
      </c>
      <c r="G115" t="inlineStr">
        <is>
          <t>GAGNEF</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7598-2024</t>
        </is>
      </c>
      <c r="B116" t="inlineStr">
        <is>
          <t>avverkningsanmälan</t>
        </is>
      </c>
      <c r="C116" t="inlineStr">
        <is>
          <t>Föryngringsavverkning</t>
        </is>
      </c>
      <c r="D116" s="1" t="n">
        <v>45348</v>
      </c>
      <c r="E116" s="1" t="n">
        <v>46298</v>
      </c>
      <c r="F116" t="inlineStr">
        <is>
          <t>DALARNAS LÄN</t>
        </is>
      </c>
      <c r="G116" t="inlineStr">
        <is>
          <t>GAGNEF</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4682-2026</t>
        </is>
      </c>
      <c r="B117" t="inlineStr">
        <is>
          <t>avverkningsanmälan</t>
        </is>
      </c>
      <c r="C117" t="inlineStr">
        <is>
          <t>Föryngringsavverkning</t>
        </is>
      </c>
      <c r="D117" s="1" t="n">
        <v>46048</v>
      </c>
      <c r="E117" s="1" t="n">
        <v>46298</v>
      </c>
      <c r="F117" t="inlineStr">
        <is>
          <t>DALARNAS LÄN</t>
        </is>
      </c>
      <c r="G117" t="inlineStr">
        <is>
          <t>GAGNEF</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4718-2026</t>
        </is>
      </c>
      <c r="B118" t="inlineStr">
        <is>
          <t>avverkningsanmälan</t>
        </is>
      </c>
      <c r="C118" t="inlineStr">
        <is>
          <t>Föryngringsavverkning</t>
        </is>
      </c>
      <c r="D118" s="1" t="n">
        <v>46048</v>
      </c>
      <c r="E118" s="1" t="n">
        <v>46298</v>
      </c>
      <c r="F118" t="inlineStr">
        <is>
          <t>DALARNAS LÄN</t>
        </is>
      </c>
      <c r="G118" t="inlineStr">
        <is>
          <t>GAGNEF</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4686-2026</t>
        </is>
      </c>
      <c r="B119" t="inlineStr">
        <is>
          <t>avverkningsanmälan</t>
        </is>
      </c>
      <c r="C119" t="inlineStr">
        <is>
          <t>Föryngringsavverkning</t>
        </is>
      </c>
      <c r="D119" s="1" t="n">
        <v>46048</v>
      </c>
      <c r="E119" s="1" t="n">
        <v>46298</v>
      </c>
      <c r="F119" t="inlineStr">
        <is>
          <t>DALARNAS LÄN</t>
        </is>
      </c>
      <c r="G119" t="inlineStr">
        <is>
          <t>GAGNEF</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5256-2026</t>
        </is>
      </c>
      <c r="B120" t="inlineStr">
        <is>
          <t>avverkningsanmälan</t>
        </is>
      </c>
      <c r="C120" t="inlineStr">
        <is>
          <t>Föryngringsavverkning</t>
        </is>
      </c>
      <c r="D120" s="1" t="n">
        <v>46050</v>
      </c>
      <c r="E120" s="1" t="n">
        <v>46298</v>
      </c>
      <c r="F120" t="inlineStr">
        <is>
          <t>DALARNAS LÄN</t>
        </is>
      </c>
      <c r="G120" t="inlineStr">
        <is>
          <t>GAGNEF</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5519-2025</t>
        </is>
      </c>
      <c r="B121" t="inlineStr">
        <is>
          <t>avverkningsanmälan</t>
        </is>
      </c>
      <c r="C121" t="inlineStr">
        <is>
          <t>Föryngringsavverkning</t>
        </is>
      </c>
      <c r="D121" s="1" t="n">
        <v>45693</v>
      </c>
      <c r="E121" s="1" t="n">
        <v>46298</v>
      </c>
      <c r="F121" t="inlineStr">
        <is>
          <t>DALARNAS LÄN</t>
        </is>
      </c>
      <c r="G121" t="inlineStr">
        <is>
          <t>GAGNEF</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50536-2024</t>
        </is>
      </c>
      <c r="B122" t="inlineStr">
        <is>
          <t>avverkningsanmälan</t>
        </is>
      </c>
      <c r="C122" t="inlineStr">
        <is>
          <t>Föryngringsavverkning</t>
        </is>
      </c>
      <c r="D122" s="1" t="n">
        <v>45601</v>
      </c>
      <c r="E122" s="1" t="n">
        <v>46298</v>
      </c>
      <c r="F122" t="inlineStr">
        <is>
          <t>DALARNAS LÄN</t>
        </is>
      </c>
      <c r="G122" t="inlineStr">
        <is>
          <t>GAGNEF</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6303-2026</t>
        </is>
      </c>
      <c r="B123" t="inlineStr">
        <is>
          <t>avverkningsanmälan</t>
        </is>
      </c>
      <c r="C123" t="inlineStr">
        <is>
          <t>Föryngringsavverkning</t>
        </is>
      </c>
      <c r="D123" s="1" t="n">
        <v>46055</v>
      </c>
      <c r="E123" s="1" t="n">
        <v>46298</v>
      </c>
      <c r="F123" t="inlineStr">
        <is>
          <t>DALARNAS LÄN</t>
        </is>
      </c>
      <c r="G123" t="inlineStr">
        <is>
          <t>GAGNEF</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45497-2025</t>
        </is>
      </c>
      <c r="B124" t="inlineStr">
        <is>
          <t>avverkningsanmälan</t>
        </is>
      </c>
      <c r="C124" t="inlineStr">
        <is>
          <t>Föryngringsavverkning</t>
        </is>
      </c>
      <c r="D124" s="1" t="n">
        <v>45922</v>
      </c>
      <c r="E124" s="1" t="n">
        <v>46298</v>
      </c>
      <c r="F124" t="inlineStr">
        <is>
          <t>DALARNAS LÄN</t>
        </is>
      </c>
      <c r="G124" t="inlineStr">
        <is>
          <t>GAGNEF</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19346-2025</t>
        </is>
      </c>
      <c r="B125" t="inlineStr">
        <is>
          <t>avverkningsanmälan</t>
        </is>
      </c>
      <c r="C125" t="inlineStr">
        <is>
          <t>Föryngringsavverkning</t>
        </is>
      </c>
      <c r="D125" s="1" t="n">
        <v>45769</v>
      </c>
      <c r="E125" s="1" t="n">
        <v>46298</v>
      </c>
      <c r="F125" t="inlineStr">
        <is>
          <t>DALARNAS LÄN</t>
        </is>
      </c>
      <c r="G125" t="inlineStr">
        <is>
          <t>GAGNEF</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43916-2024</t>
        </is>
      </c>
      <c r="B126" t="inlineStr">
        <is>
          <t>avverkningsanmälan</t>
        </is>
      </c>
      <c r="C126" t="inlineStr">
        <is>
          <t>Föryngringsavverkning</t>
        </is>
      </c>
      <c r="D126" s="1" t="n">
        <v>45572</v>
      </c>
      <c r="E126" s="1" t="n">
        <v>46298</v>
      </c>
      <c r="F126" t="inlineStr">
        <is>
          <t>DALARNAS LÄN</t>
        </is>
      </c>
      <c r="G126" t="inlineStr">
        <is>
          <t>GAGNEF</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47560-2025</t>
        </is>
      </c>
      <c r="B127" t="inlineStr">
        <is>
          <t>avverkningsanmälan</t>
        </is>
      </c>
      <c r="C127" t="inlineStr">
        <is>
          <t>Föryngringsavverkning</t>
        </is>
      </c>
      <c r="D127" s="1" t="n">
        <v>45931</v>
      </c>
      <c r="E127" s="1" t="n">
        <v>46298</v>
      </c>
      <c r="F127" t="inlineStr">
        <is>
          <t>DALARNAS LÄN</t>
        </is>
      </c>
      <c r="G127" t="inlineStr">
        <is>
          <t>GAGNEF</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47685-2025</t>
        </is>
      </c>
      <c r="B128" t="inlineStr">
        <is>
          <t>avverkningsanmälan</t>
        </is>
      </c>
      <c r="C128" t="inlineStr">
        <is>
          <t>Föryngringsavverkning</t>
        </is>
      </c>
      <c r="D128" s="1" t="n">
        <v>45931</v>
      </c>
      <c r="E128" s="1" t="n">
        <v>46298</v>
      </c>
      <c r="F128" t="inlineStr">
        <is>
          <t>DALARNAS LÄN</t>
        </is>
      </c>
      <c r="G128" t="inlineStr">
        <is>
          <t>GAGNEF</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4375-2024</t>
        </is>
      </c>
      <c r="B129" t="inlineStr">
        <is>
          <t>avverkningsanmälan</t>
        </is>
      </c>
      <c r="C129" t="inlineStr">
        <is>
          <t>Föryngringsavverkning</t>
        </is>
      </c>
      <c r="D129" s="1" t="n">
        <v>45326</v>
      </c>
      <c r="E129" s="1" t="n">
        <v>46298</v>
      </c>
      <c r="F129" t="inlineStr">
        <is>
          <t>DALARNAS LÄN</t>
        </is>
      </c>
      <c r="G129" t="inlineStr">
        <is>
          <t>GAGNEF</t>
        </is>
      </c>
      <c r="I129" t="n">
        <v>9.300000000000001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63325-2025</t>
        </is>
      </c>
      <c r="B130" t="inlineStr">
        <is>
          <t>avverkningsanmälan</t>
        </is>
      </c>
      <c r="C130" t="inlineStr">
        <is>
          <t>Föryngringsavverkning</t>
        </is>
      </c>
      <c r="D130" s="1" t="n">
        <v>46010</v>
      </c>
      <c r="E130" s="1" t="n">
        <v>46298</v>
      </c>
      <c r="F130" t="inlineStr">
        <is>
          <t>DALARNAS LÄN</t>
        </is>
      </c>
      <c r="G130" t="inlineStr">
        <is>
          <t>GAGNEF</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15965-2023</t>
        </is>
      </c>
      <c r="B131" t="inlineStr">
        <is>
          <t>avverkningsanmälan</t>
        </is>
      </c>
      <c r="C131" t="inlineStr">
        <is>
          <t>Föryngringsavverkning</t>
        </is>
      </c>
      <c r="D131" s="1" t="n">
        <v>45022</v>
      </c>
      <c r="E131" s="1" t="n">
        <v>46298</v>
      </c>
      <c r="F131" t="inlineStr">
        <is>
          <t>DALARNAS LÄN</t>
        </is>
      </c>
      <c r="G131" t="inlineStr">
        <is>
          <t>GAGNEF</t>
        </is>
      </c>
      <c r="H131" t="inlineStr">
        <is>
          <t>Bergvik skog väst AB</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36127-2024</t>
        </is>
      </c>
      <c r="B132" t="inlineStr">
        <is>
          <t>avverkningsanmälan</t>
        </is>
      </c>
      <c r="C132" t="inlineStr">
        <is>
          <t>Föryngringsavverkning</t>
        </is>
      </c>
      <c r="D132" s="1" t="n">
        <v>45534</v>
      </c>
      <c r="E132" s="1" t="n">
        <v>46298</v>
      </c>
      <c r="F132" t="inlineStr">
        <is>
          <t>DALARNAS LÄN</t>
        </is>
      </c>
      <c r="G132" t="inlineStr">
        <is>
          <t>GAGNEF</t>
        </is>
      </c>
      <c r="H132" t="inlineStr">
        <is>
          <t>Bergvik skog väst AB</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36132-2024</t>
        </is>
      </c>
      <c r="B133" t="inlineStr">
        <is>
          <t>avverkningsanmälan</t>
        </is>
      </c>
      <c r="C133" t="inlineStr">
        <is>
          <t>Föryngringsavverkning</t>
        </is>
      </c>
      <c r="D133" s="1" t="n">
        <v>45534</v>
      </c>
      <c r="E133" s="1" t="n">
        <v>46298</v>
      </c>
      <c r="F133" t="inlineStr">
        <is>
          <t>DALARNAS LÄN</t>
        </is>
      </c>
      <c r="G133" t="inlineStr">
        <is>
          <t>GAGNEF</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491-2025</t>
        </is>
      </c>
      <c r="B134" t="inlineStr">
        <is>
          <t>avverkningsanmälan</t>
        </is>
      </c>
      <c r="C134" t="inlineStr">
        <is>
          <t>Föryngringsavverkning</t>
        </is>
      </c>
      <c r="D134" s="1" t="n">
        <v>45664</v>
      </c>
      <c r="E134" s="1" t="n">
        <v>46298</v>
      </c>
      <c r="F134" t="inlineStr">
        <is>
          <t>DALARNAS LÄN</t>
        </is>
      </c>
      <c r="G134" t="inlineStr">
        <is>
          <t>GAGNEF</t>
        </is>
      </c>
      <c r="H134" t="inlineStr">
        <is>
          <t>Övriga statliga verk och myndigheter</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708-2026</t>
        </is>
      </c>
      <c r="B135" t="inlineStr">
        <is>
          <t>avverkningsanmälan</t>
        </is>
      </c>
      <c r="C135" t="inlineStr">
        <is>
          <t>Avverkning för att bevara och utveckla /försöksver</t>
        </is>
      </c>
      <c r="D135" s="1" t="n">
        <v>46029</v>
      </c>
      <c r="E135" s="1" t="n">
        <v>46298</v>
      </c>
      <c r="F135" t="inlineStr">
        <is>
          <t>DALARNAS LÄN</t>
        </is>
      </c>
      <c r="G135" t="inlineStr">
        <is>
          <t>GAGNEF</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63084-2025</t>
        </is>
      </c>
      <c r="B136" t="inlineStr">
        <is>
          <t>avverkningsanmälan</t>
        </is>
      </c>
      <c r="C136" t="inlineStr">
        <is>
          <t>Föryngringsavverkning</t>
        </is>
      </c>
      <c r="D136" s="1" t="n">
        <v>46009</v>
      </c>
      <c r="E136" s="1" t="n">
        <v>46298</v>
      </c>
      <c r="F136" t="inlineStr">
        <is>
          <t>DALARNAS LÄN</t>
        </is>
      </c>
      <c r="G136" t="inlineStr">
        <is>
          <t>GAGNEF</t>
        </is>
      </c>
      <c r="H136" t="inlineStr">
        <is>
          <t>Kyrkan</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54018-2025</t>
        </is>
      </c>
      <c r="B137" t="inlineStr">
        <is>
          <t>avverkningsanmälan</t>
        </is>
      </c>
      <c r="C137" t="inlineStr">
        <is>
          <t>Föryngringsavverkning</t>
        </is>
      </c>
      <c r="D137" s="1" t="n">
        <v>45961</v>
      </c>
      <c r="E137" s="1" t="n">
        <v>46298</v>
      </c>
      <c r="F137" t="inlineStr">
        <is>
          <t>DALARNAS LÄN</t>
        </is>
      </c>
      <c r="G137" t="inlineStr">
        <is>
          <t>GAGNEF</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2916-2026</t>
        </is>
      </c>
      <c r="B138" t="inlineStr">
        <is>
          <t>avverkningsanmälan</t>
        </is>
      </c>
      <c r="C138" t="inlineStr">
        <is>
          <t>Föryngringsavverkning</t>
        </is>
      </c>
      <c r="D138" s="1" t="n">
        <v>46038</v>
      </c>
      <c r="E138" s="1" t="n">
        <v>46298</v>
      </c>
      <c r="F138" t="inlineStr">
        <is>
          <t>DALARNAS LÄN</t>
        </is>
      </c>
      <c r="G138" t="inlineStr">
        <is>
          <t>GAGNEF</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3316-2022</t>
        </is>
      </c>
      <c r="B139" t="inlineStr">
        <is>
          <t>avverkningsanmälan</t>
        </is>
      </c>
      <c r="C139" t="inlineStr">
        <is>
          <t>Avverkning för annat ändamål</t>
        </is>
      </c>
      <c r="D139" s="1" t="n">
        <v>44585</v>
      </c>
      <c r="E139" s="1" t="n">
        <v>46298</v>
      </c>
      <c r="F139" t="inlineStr">
        <is>
          <t>DALARNAS LÄN</t>
        </is>
      </c>
      <c r="G139" t="inlineStr">
        <is>
          <t>GAGNEF</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66613-2021</t>
        </is>
      </c>
      <c r="B140" t="inlineStr">
        <is>
          <t>avverkningsanmälan</t>
        </is>
      </c>
      <c r="C140" t="inlineStr">
        <is>
          <t>Avverkning för annat ändamål</t>
        </is>
      </c>
      <c r="D140" s="1" t="n">
        <v>44519</v>
      </c>
      <c r="E140" s="1" t="n">
        <v>46298</v>
      </c>
      <c r="F140" t="inlineStr">
        <is>
          <t>DALARNAS LÄN</t>
        </is>
      </c>
      <c r="G140" t="inlineStr">
        <is>
          <t>GAGNEF</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49226-2025</t>
        </is>
      </c>
      <c r="B141" t="inlineStr">
        <is>
          <t>avverkningsanmälan</t>
        </is>
      </c>
      <c r="C141" t="inlineStr">
        <is>
          <t>Föryngringsavverkning</t>
        </is>
      </c>
      <c r="D141" s="1" t="n">
        <v>45938</v>
      </c>
      <c r="E141" s="1" t="n">
        <v>46298</v>
      </c>
      <c r="F141" t="inlineStr">
        <is>
          <t>DALARNAS LÄN</t>
        </is>
      </c>
      <c r="G141" t="inlineStr">
        <is>
          <t>GAGNEF</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49229-2025</t>
        </is>
      </c>
      <c r="B142" t="inlineStr">
        <is>
          <t>avverkningsanmälan</t>
        </is>
      </c>
      <c r="C142" t="inlineStr">
        <is>
          <t>Föryngringsavverkning</t>
        </is>
      </c>
      <c r="D142" s="1" t="n">
        <v>45938</v>
      </c>
      <c r="E142" s="1" t="n">
        <v>46298</v>
      </c>
      <c r="F142" t="inlineStr">
        <is>
          <t>DALARNAS LÄN</t>
        </is>
      </c>
      <c r="G142" t="inlineStr">
        <is>
          <t>GAGNEF</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48957-2025</t>
        </is>
      </c>
      <c r="B143" t="inlineStr">
        <is>
          <t>avverkningsanmälan</t>
        </is>
      </c>
      <c r="C143" t="inlineStr">
        <is>
          <t>Föryngringsavverkning</t>
        </is>
      </c>
      <c r="D143" s="1" t="n">
        <v>45937</v>
      </c>
      <c r="E143" s="1" t="n">
        <v>46298</v>
      </c>
      <c r="F143" t="inlineStr">
        <is>
          <t>DALARNAS LÄN</t>
        </is>
      </c>
      <c r="G143" t="inlineStr">
        <is>
          <t>GAGNEF</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16388-2022</t>
        </is>
      </c>
      <c r="B144" t="inlineStr">
        <is>
          <t>avverkningsanmälan</t>
        </is>
      </c>
      <c r="C144" t="inlineStr">
        <is>
          <t>Föryngringsavverkning</t>
        </is>
      </c>
      <c r="D144" s="1" t="n">
        <v>44671</v>
      </c>
      <c r="E144" s="1" t="n">
        <v>46298</v>
      </c>
      <c r="F144" t="inlineStr">
        <is>
          <t>DALARNAS LÄN</t>
        </is>
      </c>
      <c r="G144" t="inlineStr">
        <is>
          <t>GAGNEF</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49961-2025</t>
        </is>
      </c>
      <c r="B145" t="inlineStr">
        <is>
          <t>avverkningsanmälan</t>
        </is>
      </c>
      <c r="C145" t="inlineStr">
        <is>
          <t>Föryngringsavverkning</t>
        </is>
      </c>
      <c r="D145" s="1" t="n">
        <v>45941</v>
      </c>
      <c r="E145" s="1" t="n">
        <v>46298</v>
      </c>
      <c r="F145" t="inlineStr">
        <is>
          <t>DALARNAS LÄN</t>
        </is>
      </c>
      <c r="G145" t="inlineStr">
        <is>
          <t>GAGNEF</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49962-2025</t>
        </is>
      </c>
      <c r="B146" t="inlineStr">
        <is>
          <t>avverkningsanmälan</t>
        </is>
      </c>
      <c r="C146" t="inlineStr">
        <is>
          <t>Föryngringsavverkning</t>
        </is>
      </c>
      <c r="D146" s="1" t="n">
        <v>45941</v>
      </c>
      <c r="E146" s="1" t="n">
        <v>46298</v>
      </c>
      <c r="F146" t="inlineStr">
        <is>
          <t>DALARNAS LÄN</t>
        </is>
      </c>
      <c r="G146" t="inlineStr">
        <is>
          <t>GAGNEF</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16118-2023</t>
        </is>
      </c>
      <c r="B147" t="inlineStr">
        <is>
          <t>avverkningsanmälan</t>
        </is>
      </c>
      <c r="C147" t="inlineStr">
        <is>
          <t>Föryngringsavverkning</t>
        </is>
      </c>
      <c r="D147" s="1" t="n">
        <v>45027</v>
      </c>
      <c r="E147" s="1" t="n">
        <v>46298</v>
      </c>
      <c r="F147" t="inlineStr">
        <is>
          <t>DALARNAS LÄN</t>
        </is>
      </c>
      <c r="G147" t="inlineStr">
        <is>
          <t>GAGNEF</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10328-2026</t>
        </is>
      </c>
      <c r="B148" t="inlineStr">
        <is>
          <t>avverkningsanmälan</t>
        </is>
      </c>
      <c r="C148" t="inlineStr">
        <is>
          <t>Föryngringsavverkning</t>
        </is>
      </c>
      <c r="D148" s="1" t="n">
        <v>46076</v>
      </c>
      <c r="E148" s="1" t="n">
        <v>46298</v>
      </c>
      <c r="F148" t="inlineStr">
        <is>
          <t>DALARNAS LÄN</t>
        </is>
      </c>
      <c r="G148" t="inlineStr">
        <is>
          <t>GAGNEF</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50754-2025</t>
        </is>
      </c>
      <c r="B149" t="inlineStr">
        <is>
          <t>avverkningsanmälan</t>
        </is>
      </c>
      <c r="C149" t="inlineStr">
        <is>
          <t>Föryngringsavverkning</t>
        </is>
      </c>
      <c r="D149" s="1" t="n">
        <v>45946</v>
      </c>
      <c r="E149" s="1" t="n">
        <v>46298</v>
      </c>
      <c r="F149" t="inlineStr">
        <is>
          <t>DALARNAS LÄN</t>
        </is>
      </c>
      <c r="G149" t="inlineStr">
        <is>
          <t>GAGNEF</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11311-2026</t>
        </is>
      </c>
      <c r="B150" t="inlineStr">
        <is>
          <t>avverkningsanmälan</t>
        </is>
      </c>
      <c r="C150" t="inlineStr">
        <is>
          <t>Föryngringsavverkning</t>
        </is>
      </c>
      <c r="D150" s="1" t="n">
        <v>46080</v>
      </c>
      <c r="E150" s="1" t="n">
        <v>46298</v>
      </c>
      <c r="F150" t="inlineStr">
        <is>
          <t>DALARNAS LÄN</t>
        </is>
      </c>
      <c r="G150" t="inlineStr">
        <is>
          <t>GAGNEF</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52136-2025</t>
        </is>
      </c>
      <c r="B151" t="inlineStr">
        <is>
          <t>avverkningsanmälan</t>
        </is>
      </c>
      <c r="C151" t="inlineStr">
        <is>
          <t>Föryngringsavverkning</t>
        </is>
      </c>
      <c r="D151" s="1" t="n">
        <v>45952</v>
      </c>
      <c r="E151" s="1" t="n">
        <v>46298</v>
      </c>
      <c r="F151" t="inlineStr">
        <is>
          <t>DALARNAS LÄN</t>
        </is>
      </c>
      <c r="G151" t="inlineStr">
        <is>
          <t>GAGNEF</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52738-2025</t>
        </is>
      </c>
      <c r="B152" t="inlineStr">
        <is>
          <t>avverkningsanmälan</t>
        </is>
      </c>
      <c r="C152" t="inlineStr">
        <is>
          <t>Föryngringsavverkning</t>
        </is>
      </c>
      <c r="D152" s="1" t="n">
        <v>45957</v>
      </c>
      <c r="E152" s="1" t="n">
        <v>46298</v>
      </c>
      <c r="F152" t="inlineStr">
        <is>
          <t>DALARNAS LÄN</t>
        </is>
      </c>
      <c r="G152" t="inlineStr">
        <is>
          <t>GAGNEF</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41366-2023</t>
        </is>
      </c>
      <c r="B153" t="inlineStr">
        <is>
          <t>avverkningsanmälan</t>
        </is>
      </c>
      <c r="C153" t="inlineStr">
        <is>
          <t>Föryngringsavverkning</t>
        </is>
      </c>
      <c r="D153" s="1" t="n">
        <v>45174</v>
      </c>
      <c r="E153" s="1" t="n">
        <v>46298</v>
      </c>
      <c r="F153" t="inlineStr">
        <is>
          <t>DALARNAS LÄN</t>
        </is>
      </c>
      <c r="G153" t="inlineStr">
        <is>
          <t>GAGNEF</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53917-2025</t>
        </is>
      </c>
      <c r="B154" t="inlineStr">
        <is>
          <t>avverkningsanmälan</t>
        </is>
      </c>
      <c r="C154" t="inlineStr">
        <is>
          <t>Avverkning för annat ändamål</t>
        </is>
      </c>
      <c r="D154" s="1" t="n">
        <v>45961</v>
      </c>
      <c r="E154" s="1" t="n">
        <v>46298</v>
      </c>
      <c r="F154" t="inlineStr">
        <is>
          <t>DALARNAS LÄN</t>
        </is>
      </c>
      <c r="G154" t="inlineStr">
        <is>
          <t>GAGNEF</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13169-2025</t>
        </is>
      </c>
      <c r="B155" t="inlineStr">
        <is>
          <t>avverkningsanmälan</t>
        </is>
      </c>
      <c r="C155" t="inlineStr">
        <is>
          <t>Föryngringsavverkning</t>
        </is>
      </c>
      <c r="D155" s="1" t="n">
        <v>45735</v>
      </c>
      <c r="E155" s="1" t="n">
        <v>46298</v>
      </c>
      <c r="F155" t="inlineStr">
        <is>
          <t>DALARNAS LÄN</t>
        </is>
      </c>
      <c r="G155" t="inlineStr">
        <is>
          <t>GAGNEF</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54285-2025</t>
        </is>
      </c>
      <c r="B156" t="inlineStr">
        <is>
          <t>avverkningsanmälan</t>
        </is>
      </c>
      <c r="C156" t="inlineStr">
        <is>
          <t>Föryngringsavverkning</t>
        </is>
      </c>
      <c r="D156" s="1" t="n">
        <v>45964</v>
      </c>
      <c r="E156" s="1" t="n">
        <v>46298</v>
      </c>
      <c r="F156" t="inlineStr">
        <is>
          <t>DALARNAS LÄN</t>
        </is>
      </c>
      <c r="G156" t="inlineStr">
        <is>
          <t>GAGNEF</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64987-2023</t>
        </is>
      </c>
      <c r="B157" t="inlineStr">
        <is>
          <t>avverkningsanmälan</t>
        </is>
      </c>
      <c r="C157" t="inlineStr">
        <is>
          <t>Föryngringsavverkning</t>
        </is>
      </c>
      <c r="D157" s="1" t="n">
        <v>45285</v>
      </c>
      <c r="E157" s="1" t="n">
        <v>46298</v>
      </c>
      <c r="F157" t="inlineStr">
        <is>
          <t>DALARNAS LÄN</t>
        </is>
      </c>
      <c r="G157" t="inlineStr">
        <is>
          <t>GAGNEF</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16858-2025</t>
        </is>
      </c>
      <c r="B158" t="inlineStr">
        <is>
          <t>avverkningsanmälan</t>
        </is>
      </c>
      <c r="C158" t="inlineStr">
        <is>
          <t>Avverkning för annat ändamål</t>
        </is>
      </c>
      <c r="D158" s="1" t="n">
        <v>45751</v>
      </c>
      <c r="E158" s="1" t="n">
        <v>46298</v>
      </c>
      <c r="F158" t="inlineStr">
        <is>
          <t>DALARNAS LÄN</t>
        </is>
      </c>
      <c r="G158" t="inlineStr">
        <is>
          <t>GAGNEF</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3411-2025</t>
        </is>
      </c>
      <c r="B159" t="inlineStr">
        <is>
          <t>avverkningsanmälan</t>
        </is>
      </c>
      <c r="C159" t="inlineStr">
        <is>
          <t>Föryngringsavverkning</t>
        </is>
      </c>
      <c r="D159" s="1" t="n">
        <v>45680</v>
      </c>
      <c r="E159" s="1" t="n">
        <v>46298</v>
      </c>
      <c r="F159" t="inlineStr">
        <is>
          <t>DALARNAS LÄN</t>
        </is>
      </c>
      <c r="G159" t="inlineStr">
        <is>
          <t>GAGNEF</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55838-2025</t>
        </is>
      </c>
      <c r="B160" t="inlineStr">
        <is>
          <t>avverkningsanmälan</t>
        </is>
      </c>
      <c r="C160" t="inlineStr">
        <is>
          <t>Föryngringsavverkning</t>
        </is>
      </c>
      <c r="D160" s="1" t="n">
        <v>45972</v>
      </c>
      <c r="E160" s="1" t="n">
        <v>46298</v>
      </c>
      <c r="F160" t="inlineStr">
        <is>
          <t>DALARNAS LÄN</t>
        </is>
      </c>
      <c r="G160" t="inlineStr">
        <is>
          <t>GAGNEF</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52439-2024</t>
        </is>
      </c>
      <c r="B161" t="inlineStr">
        <is>
          <t>avverkningsanmälan</t>
        </is>
      </c>
      <c r="C161" t="inlineStr">
        <is>
          <t>Föryngringsavverkning</t>
        </is>
      </c>
      <c r="D161" s="1" t="n">
        <v>45608</v>
      </c>
      <c r="E161" s="1" t="n">
        <v>46298</v>
      </c>
      <c r="F161" t="inlineStr">
        <is>
          <t>DALARNAS LÄN</t>
        </is>
      </c>
      <c r="G161" t="inlineStr">
        <is>
          <t>GAGNEF</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55801-2025</t>
        </is>
      </c>
      <c r="B162" t="inlineStr">
        <is>
          <t>avverkningsanmälan</t>
        </is>
      </c>
      <c r="C162" t="inlineStr">
        <is>
          <t>Föryngringsavverkning</t>
        </is>
      </c>
      <c r="D162" s="1" t="n">
        <v>45972</v>
      </c>
      <c r="E162" s="1" t="n">
        <v>46298</v>
      </c>
      <c r="F162" t="inlineStr">
        <is>
          <t>DALARNAS LÄN</t>
        </is>
      </c>
      <c r="G162" t="inlineStr">
        <is>
          <t>GAGNEF</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38723-2025</t>
        </is>
      </c>
      <c r="B163" t="inlineStr">
        <is>
          <t>avverkningsanmälan</t>
        </is>
      </c>
      <c r="C163" t="inlineStr">
        <is>
          <t>Föryngringsavverkning</t>
        </is>
      </c>
      <c r="D163" s="1" t="n">
        <v>45886</v>
      </c>
      <c r="E163" s="1" t="n">
        <v>46298</v>
      </c>
      <c r="F163" t="inlineStr">
        <is>
          <t>DALARNAS LÄN</t>
        </is>
      </c>
      <c r="G163" t="inlineStr">
        <is>
          <t>GAGNEF</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15548-2026</t>
        </is>
      </c>
      <c r="B164" t="inlineStr">
        <is>
          <t>avverkningsanmälan</t>
        </is>
      </c>
      <c r="C164" t="inlineStr">
        <is>
          <t>Föryngringsavverkning</t>
        </is>
      </c>
      <c r="D164" s="1" t="n">
        <v>46106</v>
      </c>
      <c r="E164" s="1" t="n">
        <v>46298</v>
      </c>
      <c r="F164" t="inlineStr">
        <is>
          <t>DALARNAS LÄN</t>
        </is>
      </c>
      <c r="G164" t="inlineStr">
        <is>
          <t>GAGNEF</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57135-2025</t>
        </is>
      </c>
      <c r="B165" t="inlineStr">
        <is>
          <t>avverkningsanmälan</t>
        </is>
      </c>
      <c r="C165" t="inlineStr">
        <is>
          <t>Föryngringsavverkning</t>
        </is>
      </c>
      <c r="D165" s="1" t="n">
        <v>45979</v>
      </c>
      <c r="E165" s="1" t="n">
        <v>46298</v>
      </c>
      <c r="F165" t="inlineStr">
        <is>
          <t>DALARNAS LÄN</t>
        </is>
      </c>
      <c r="G165" t="inlineStr">
        <is>
          <t>GAGNEF</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12741-2025</t>
        </is>
      </c>
      <c r="B166" t="inlineStr">
        <is>
          <t>avverkningsanmälan</t>
        </is>
      </c>
      <c r="C166" t="inlineStr">
        <is>
          <t>Föryngringsavverkning</t>
        </is>
      </c>
      <c r="D166" s="1" t="n">
        <v>45733</v>
      </c>
      <c r="E166" s="1" t="n">
        <v>46298</v>
      </c>
      <c r="F166" t="inlineStr">
        <is>
          <t>DALARNAS LÄN</t>
        </is>
      </c>
      <c r="G166" t="inlineStr">
        <is>
          <t>GAGNEF</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15184-2026</t>
        </is>
      </c>
      <c r="B167" t="inlineStr">
        <is>
          <t>avverkningsanmälan</t>
        </is>
      </c>
      <c r="C167" t="inlineStr">
        <is>
          <t>Föryngringsavverkning</t>
        </is>
      </c>
      <c r="D167" s="1" t="n">
        <v>46105</v>
      </c>
      <c r="E167" s="1" t="n">
        <v>46298</v>
      </c>
      <c r="F167" t="inlineStr">
        <is>
          <t>DALARNAS LÄN</t>
        </is>
      </c>
      <c r="G167" t="inlineStr">
        <is>
          <t>GAGNEF</t>
        </is>
      </c>
      <c r="H167" t="inlineStr">
        <is>
          <t>Bergvik skog väst AB</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15942-2026</t>
        </is>
      </c>
      <c r="B168" t="inlineStr">
        <is>
          <t>avverkningsanmälan</t>
        </is>
      </c>
      <c r="C168" t="inlineStr">
        <is>
          <t>Föryngringsavverkning</t>
        </is>
      </c>
      <c r="D168" s="1" t="n">
        <v>46107</v>
      </c>
      <c r="E168" s="1" t="n">
        <v>46298</v>
      </c>
      <c r="F168" t="inlineStr">
        <is>
          <t>DALARNAS LÄN</t>
        </is>
      </c>
      <c r="G168" t="inlineStr">
        <is>
          <t>GAGNEF</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42715-2024</t>
        </is>
      </c>
      <c r="B169" t="inlineStr">
        <is>
          <t>avverkningsanmälan</t>
        </is>
      </c>
      <c r="C169" t="inlineStr">
        <is>
          <t>Föryngringsavverkning</t>
        </is>
      </c>
      <c r="D169" s="1" t="n">
        <v>45566</v>
      </c>
      <c r="E169" s="1" t="n">
        <v>46298</v>
      </c>
      <c r="F169" t="inlineStr">
        <is>
          <t>DALARNAS LÄN</t>
        </is>
      </c>
      <c r="G169" t="inlineStr">
        <is>
          <t>GAGNEF</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7601-2024</t>
        </is>
      </c>
      <c r="B170" t="inlineStr">
        <is>
          <t>avverkningsanmälan</t>
        </is>
      </c>
      <c r="C170" t="inlineStr">
        <is>
          <t>Föryngringsavverkning</t>
        </is>
      </c>
      <c r="D170" s="1" t="n">
        <v>45348</v>
      </c>
      <c r="E170" s="1" t="n">
        <v>46298</v>
      </c>
      <c r="F170" t="inlineStr">
        <is>
          <t>DALARNAS LÄN</t>
        </is>
      </c>
      <c r="G170" t="inlineStr">
        <is>
          <t>GAGNEF</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51251-2023</t>
        </is>
      </c>
      <c r="B171" t="inlineStr">
        <is>
          <t>avverkningsanmälan</t>
        </is>
      </c>
      <c r="C171" t="inlineStr">
        <is>
          <t>Föryngringsavverkning</t>
        </is>
      </c>
      <c r="D171" s="1" t="n">
        <v>45219</v>
      </c>
      <c r="E171" s="1" t="n">
        <v>46298</v>
      </c>
      <c r="F171" t="inlineStr">
        <is>
          <t>DALARNAS LÄN</t>
        </is>
      </c>
      <c r="G171" t="inlineStr">
        <is>
          <t>GAGNEF</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51287-2023</t>
        </is>
      </c>
      <c r="B172" t="inlineStr">
        <is>
          <t>avverkningsanmälan</t>
        </is>
      </c>
      <c r="C172" t="inlineStr">
        <is>
          <t>Föryngringsavverkning</t>
        </is>
      </c>
      <c r="D172" s="1" t="n">
        <v>45219</v>
      </c>
      <c r="E172" s="1" t="n">
        <v>46298</v>
      </c>
      <c r="F172" t="inlineStr">
        <is>
          <t>DALARNAS LÄN</t>
        </is>
      </c>
      <c r="G172" t="inlineStr">
        <is>
          <t>GAGNEF</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29848-2025</t>
        </is>
      </c>
      <c r="B173" t="inlineStr">
        <is>
          <t>avverkningsanmälan</t>
        </is>
      </c>
      <c r="C173" t="inlineStr">
        <is>
          <t>Föryngringsavverkning</t>
        </is>
      </c>
      <c r="D173" s="1" t="n">
        <v>45826</v>
      </c>
      <c r="E173" s="1" t="n">
        <v>46298</v>
      </c>
      <c r="F173" t="inlineStr">
        <is>
          <t>DALARNAS LÄN</t>
        </is>
      </c>
      <c r="G173" t="inlineStr">
        <is>
          <t>GAGNEF</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59580-2025</t>
        </is>
      </c>
      <c r="B174" t="inlineStr">
        <is>
          <t>avverkningsanmälan</t>
        </is>
      </c>
      <c r="C174" t="inlineStr">
        <is>
          <t>Föryngringsavverkning</t>
        </is>
      </c>
      <c r="D174" s="1" t="n">
        <v>45992</v>
      </c>
      <c r="E174" s="1" t="n">
        <v>46298</v>
      </c>
      <c r="F174" t="inlineStr">
        <is>
          <t>DALARNAS LÄN</t>
        </is>
      </c>
      <c r="G174" t="inlineStr">
        <is>
          <t>GAGNEF</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17732-2026</t>
        </is>
      </c>
      <c r="B175" t="inlineStr">
        <is>
          <t>avverkningsanmälan</t>
        </is>
      </c>
      <c r="C175" t="inlineStr">
        <is>
          <t>Föryngringsavverkning</t>
        </is>
      </c>
      <c r="D175" s="1" t="n">
        <v>46121</v>
      </c>
      <c r="E175" s="1" t="n">
        <v>46298</v>
      </c>
      <c r="F175" t="inlineStr">
        <is>
          <t>DALARNAS LÄN</t>
        </is>
      </c>
      <c r="G175" t="inlineStr">
        <is>
          <t>GAGNEF</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18038-2026</t>
        </is>
      </c>
      <c r="B176" t="inlineStr">
        <is>
          <t>avverkningsanmälan</t>
        </is>
      </c>
      <c r="C176" t="inlineStr">
        <is>
          <t>Föryngringsavverkning</t>
        </is>
      </c>
      <c r="D176" s="1" t="n">
        <v>46125</v>
      </c>
      <c r="E176" s="1" t="n">
        <v>46298</v>
      </c>
      <c r="F176" t="inlineStr">
        <is>
          <t>DALARNAS LÄN</t>
        </is>
      </c>
      <c r="G176" t="inlineStr">
        <is>
          <t>GAGNEF</t>
        </is>
      </c>
      <c r="I176" t="n">
        <v>6.1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30098-2025</t>
        </is>
      </c>
      <c r="B177" t="inlineStr">
        <is>
          <t>avverkningsanmälan</t>
        </is>
      </c>
      <c r="C177" t="inlineStr">
        <is>
          <t>Föryngringsavverkning</t>
        </is>
      </c>
      <c r="D177" s="1" t="n">
        <v>45826</v>
      </c>
      <c r="E177" s="1" t="n">
        <v>46298</v>
      </c>
      <c r="F177" t="inlineStr">
        <is>
          <t>DALARNAS LÄN</t>
        </is>
      </c>
      <c r="G177" t="inlineStr">
        <is>
          <t>GAGNEF</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1479-2025</t>
        </is>
      </c>
      <c r="B178" t="inlineStr">
        <is>
          <t>avverkningsanmälan</t>
        </is>
      </c>
      <c r="C178" t="inlineStr">
        <is>
          <t>Föryngringsavverkning</t>
        </is>
      </c>
      <c r="D178" s="1" t="n">
        <v>45670</v>
      </c>
      <c r="E178" s="1" t="n">
        <v>46298</v>
      </c>
      <c r="F178" t="inlineStr">
        <is>
          <t>DALARNAS LÄN</t>
        </is>
      </c>
      <c r="G178" t="inlineStr">
        <is>
          <t>GAGNEF</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1481-2025</t>
        </is>
      </c>
      <c r="B179" t="inlineStr">
        <is>
          <t>avverkningsanmälan</t>
        </is>
      </c>
      <c r="C179" t="inlineStr">
        <is>
          <t>Föryngringsavverkning</t>
        </is>
      </c>
      <c r="D179" s="1" t="n">
        <v>45670</v>
      </c>
      <c r="E179" s="1" t="n">
        <v>46298</v>
      </c>
      <c r="F179" t="inlineStr">
        <is>
          <t>DALARNAS LÄN</t>
        </is>
      </c>
      <c r="G179" t="inlineStr">
        <is>
          <t>GAGNEF</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60572-2025</t>
        </is>
      </c>
      <c r="B180" t="inlineStr">
        <is>
          <t>avverkningsanmälan</t>
        </is>
      </c>
      <c r="C180" t="inlineStr">
        <is>
          <t>Föryngringsavverkning</t>
        </is>
      </c>
      <c r="D180" s="1" t="n">
        <v>45995</v>
      </c>
      <c r="E180" s="1" t="n">
        <v>46298</v>
      </c>
      <c r="F180" t="inlineStr">
        <is>
          <t>DALARNAS LÄN</t>
        </is>
      </c>
      <c r="G180" t="inlineStr">
        <is>
          <t>GAGNEF</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44149-2023</t>
        </is>
      </c>
      <c r="B181" t="inlineStr">
        <is>
          <t>avverkningsanmälan</t>
        </is>
      </c>
      <c r="C181" t="inlineStr">
        <is>
          <t>Föryngringsavverkning</t>
        </is>
      </c>
      <c r="D181" s="1" t="n">
        <v>45188</v>
      </c>
      <c r="E181" s="1" t="n">
        <v>46298</v>
      </c>
      <c r="F181" t="inlineStr">
        <is>
          <t>DALARNAS LÄN</t>
        </is>
      </c>
      <c r="G181" t="inlineStr">
        <is>
          <t>GAGNEF</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52432-2024</t>
        </is>
      </c>
      <c r="B182" t="inlineStr">
        <is>
          <t>avverkningsanmälan</t>
        </is>
      </c>
      <c r="C182" t="inlineStr">
        <is>
          <t>Föryngringsavverkning</t>
        </is>
      </c>
      <c r="D182" s="1" t="n">
        <v>45608</v>
      </c>
      <c r="E182" s="1" t="n">
        <v>46298</v>
      </c>
      <c r="F182" t="inlineStr">
        <is>
          <t>DALARNAS LÄN</t>
        </is>
      </c>
      <c r="G182" t="inlineStr">
        <is>
          <t>GAGNEF</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44546-2024</t>
        </is>
      </c>
      <c r="B183" t="inlineStr">
        <is>
          <t>avverkningsanmälan</t>
        </is>
      </c>
      <c r="C183" t="inlineStr">
        <is>
          <t>Föryngringsavverkning</t>
        </is>
      </c>
      <c r="D183" s="1" t="n">
        <v>45574</v>
      </c>
      <c r="E183" s="1" t="n">
        <v>46298</v>
      </c>
      <c r="F183" t="inlineStr">
        <is>
          <t>DALARNAS LÄN</t>
        </is>
      </c>
      <c r="G183" t="inlineStr">
        <is>
          <t>GAGNEF</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16192-2022</t>
        </is>
      </c>
      <c r="B184" t="inlineStr">
        <is>
          <t>avverkningsanmälan</t>
        </is>
      </c>
      <c r="C184" t="inlineStr">
        <is>
          <t>Föryngringsavverkning</t>
        </is>
      </c>
      <c r="D184" s="1" t="n">
        <v>44669</v>
      </c>
      <c r="E184" s="1" t="n">
        <v>46298</v>
      </c>
      <c r="F184" t="inlineStr">
        <is>
          <t>DALARNAS LÄN</t>
        </is>
      </c>
      <c r="G184" t="inlineStr">
        <is>
          <t>GAGNEF</t>
        </is>
      </c>
      <c r="H184" t="inlineStr">
        <is>
          <t>Bergvik skog väst AB</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4601-2026</t>
        </is>
      </c>
      <c r="B185" t="inlineStr">
        <is>
          <t>avverkningsanmälan</t>
        </is>
      </c>
      <c r="C185" t="inlineStr">
        <is>
          <t>Föryngringsavverkning</t>
        </is>
      </c>
      <c r="D185" s="1" t="n">
        <v>46048</v>
      </c>
      <c r="E185" s="1" t="n">
        <v>46298</v>
      </c>
      <c r="F185" t="inlineStr">
        <is>
          <t>DALARNAS LÄN</t>
        </is>
      </c>
      <c r="G185" t="inlineStr">
        <is>
          <t>GAGNEF</t>
        </is>
      </c>
      <c r="H185" t="inlineStr">
        <is>
          <t>Bergvik skog väst AB</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20306-2026</t>
        </is>
      </c>
      <c r="B186" t="inlineStr">
        <is>
          <t>avverkningsanmälan</t>
        </is>
      </c>
      <c r="C186" t="inlineStr">
        <is>
          <t>Föryngringsavverkning</t>
        </is>
      </c>
      <c r="D186" s="1" t="n">
        <v>46139</v>
      </c>
      <c r="E186" s="1" t="n">
        <v>46298</v>
      </c>
      <c r="F186" t="inlineStr">
        <is>
          <t>DALARNAS LÄN</t>
        </is>
      </c>
      <c r="G186" t="inlineStr">
        <is>
          <t>GAGNEF</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40409-2022</t>
        </is>
      </c>
      <c r="B187" t="inlineStr">
        <is>
          <t>avverkningsanmälan</t>
        </is>
      </c>
      <c r="C187" t="inlineStr">
        <is>
          <t>Föryngringsavverkning</t>
        </is>
      </c>
      <c r="D187" s="1" t="n">
        <v>44823</v>
      </c>
      <c r="E187" s="1" t="n">
        <v>46298</v>
      </c>
      <c r="F187" t="inlineStr">
        <is>
          <t>DALARNAS LÄN</t>
        </is>
      </c>
      <c r="G187" t="inlineStr">
        <is>
          <t>GAGNEF</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43706-2025</t>
        </is>
      </c>
      <c r="B188" t="inlineStr">
        <is>
          <t>avverkningsanmälan</t>
        </is>
      </c>
      <c r="C188" t="inlineStr">
        <is>
          <t>Föryngringsavverkning</t>
        </is>
      </c>
      <c r="D188" s="1" t="n">
        <v>45912</v>
      </c>
      <c r="E188" s="1" t="n">
        <v>46298</v>
      </c>
      <c r="F188" t="inlineStr">
        <is>
          <t>DALARNAS LÄN</t>
        </is>
      </c>
      <c r="G188" t="inlineStr">
        <is>
          <t>GAGNEF</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7817-2023</t>
        </is>
      </c>
      <c r="B189" t="inlineStr">
        <is>
          <t>avverkningsanmälan</t>
        </is>
      </c>
      <c r="C189" t="inlineStr">
        <is>
          <t>Föryngringsavverkning</t>
        </is>
      </c>
      <c r="D189" s="1" t="n">
        <v>44973</v>
      </c>
      <c r="E189" s="1" t="n">
        <v>46298</v>
      </c>
      <c r="F189" t="inlineStr">
        <is>
          <t>DALARNAS LÄN</t>
        </is>
      </c>
      <c r="G189" t="inlineStr">
        <is>
          <t>GAGNEF</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34084-2025</t>
        </is>
      </c>
      <c r="B190" t="inlineStr">
        <is>
          <t>avverkningsanmälan</t>
        </is>
      </c>
      <c r="C190" t="inlineStr">
        <is>
          <t>Avverkning för annat ändamål</t>
        </is>
      </c>
      <c r="D190" s="1" t="n">
        <v>45845</v>
      </c>
      <c r="E190" s="1" t="n">
        <v>46298</v>
      </c>
      <c r="F190" t="inlineStr">
        <is>
          <t>DALARNAS LÄN</t>
        </is>
      </c>
      <c r="G190" t="inlineStr">
        <is>
          <t>GAGNEF</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38426-2024</t>
        </is>
      </c>
      <c r="B191" t="inlineStr">
        <is>
          <t>avverkningsanmälan</t>
        </is>
      </c>
      <c r="C191" t="inlineStr">
        <is>
          <t>Föryngringsavverkning</t>
        </is>
      </c>
      <c r="D191" s="1" t="n">
        <v>45546</v>
      </c>
      <c r="E191" s="1" t="n">
        <v>46298</v>
      </c>
      <c r="F191" t="inlineStr">
        <is>
          <t>DALARNAS LÄN</t>
        </is>
      </c>
      <c r="G191" t="inlineStr">
        <is>
          <t>GAGNEF</t>
        </is>
      </c>
      <c r="H191" t="inlineStr">
        <is>
          <t>Bergvik skog väst AB</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15861-2025</t>
        </is>
      </c>
      <c r="B192" t="inlineStr">
        <is>
          <t>avverkningsanmälan</t>
        </is>
      </c>
      <c r="C192" t="inlineStr">
        <is>
          <t>Föryngringsavverkning</t>
        </is>
      </c>
      <c r="D192" s="1" t="n">
        <v>45749</v>
      </c>
      <c r="E192" s="1" t="n">
        <v>46298</v>
      </c>
      <c r="F192" t="inlineStr">
        <is>
          <t>DALARNAS LÄN</t>
        </is>
      </c>
      <c r="G192" t="inlineStr">
        <is>
          <t>GAGNEF</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35892-2024</t>
        </is>
      </c>
      <c r="B193" t="inlineStr">
        <is>
          <t>avverkningsanmälan</t>
        </is>
      </c>
      <c r="C193" t="inlineStr">
        <is>
          <t>Föryngringsavverkning</t>
        </is>
      </c>
      <c r="D193" s="1" t="n">
        <v>45533</v>
      </c>
      <c r="E193" s="1" t="n">
        <v>46298</v>
      </c>
      <c r="F193" t="inlineStr">
        <is>
          <t>DALARNAS LÄN</t>
        </is>
      </c>
      <c r="G193" t="inlineStr">
        <is>
          <t>GAGNEF</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34793-2025</t>
        </is>
      </c>
      <c r="B194" t="inlineStr">
        <is>
          <t>avverkningsanmälan</t>
        </is>
      </c>
      <c r="C194" t="inlineStr">
        <is>
          <t>Avverkning för annat ändamål</t>
        </is>
      </c>
      <c r="D194" s="1" t="n">
        <v>45848</v>
      </c>
      <c r="E194" s="1" t="n">
        <v>46298</v>
      </c>
      <c r="F194" t="inlineStr">
        <is>
          <t>DALARNAS LÄN</t>
        </is>
      </c>
      <c r="G194" t="inlineStr">
        <is>
          <t>GAGNEF</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10717-2024</t>
        </is>
      </c>
      <c r="B195" t="inlineStr">
        <is>
          <t>avverkningsanmälan</t>
        </is>
      </c>
      <c r="C195" t="inlineStr">
        <is>
          <t>Föryngringsavverkning</t>
        </is>
      </c>
      <c r="D195" s="1" t="n">
        <v>45369</v>
      </c>
      <c r="E195" s="1" t="n">
        <v>46298</v>
      </c>
      <c r="F195" t="inlineStr">
        <is>
          <t>DALARNAS LÄN</t>
        </is>
      </c>
      <c r="G195" t="inlineStr">
        <is>
          <t>GAGNEF</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16409-2022</t>
        </is>
      </c>
      <c r="B196" t="inlineStr">
        <is>
          <t>avverkningsanmälan</t>
        </is>
      </c>
      <c r="C196" t="inlineStr">
        <is>
          <t>Föryngringsavverkning</t>
        </is>
      </c>
      <c r="D196" s="1" t="n">
        <v>44671</v>
      </c>
      <c r="E196" s="1" t="n">
        <v>46298</v>
      </c>
      <c r="F196" t="inlineStr">
        <is>
          <t>DALARNAS LÄN</t>
        </is>
      </c>
      <c r="G196" t="inlineStr">
        <is>
          <t>GAGNEF</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5682-2026</t>
        </is>
      </c>
      <c r="B197" t="inlineStr">
        <is>
          <t>avverkningsanmälan</t>
        </is>
      </c>
      <c r="C197" t="inlineStr">
        <is>
          <t>Föryngringsavverkning</t>
        </is>
      </c>
      <c r="D197" s="1" t="n">
        <v>46051</v>
      </c>
      <c r="E197" s="1" t="n">
        <v>46298</v>
      </c>
      <c r="F197" t="inlineStr">
        <is>
          <t>DALARNAS LÄN</t>
        </is>
      </c>
      <c r="G197" t="inlineStr">
        <is>
          <t>GAGNEF</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55392-2022</t>
        </is>
      </c>
      <c r="B198" t="inlineStr">
        <is>
          <t>avverkningsanmälan</t>
        </is>
      </c>
      <c r="C198" t="inlineStr">
        <is>
          <t>Föryngringsavverkning</t>
        </is>
      </c>
      <c r="D198" s="1" t="n">
        <v>44887</v>
      </c>
      <c r="E198" s="1" t="n">
        <v>46298</v>
      </c>
      <c r="F198" t="inlineStr">
        <is>
          <t>DALARNAS LÄN</t>
        </is>
      </c>
      <c r="G198" t="inlineStr">
        <is>
          <t>GAGNEF</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10744-2022</t>
        </is>
      </c>
      <c r="B199" t="inlineStr">
        <is>
          <t>avverkningsanmälan</t>
        </is>
      </c>
      <c r="C199" t="inlineStr">
        <is>
          <t>Föryngringsavverkning</t>
        </is>
      </c>
      <c r="D199" s="1" t="n">
        <v>44627</v>
      </c>
      <c r="E199" s="1" t="n">
        <v>46298</v>
      </c>
      <c r="F199" t="inlineStr">
        <is>
          <t>DALARNAS LÄN</t>
        </is>
      </c>
      <c r="G199" t="inlineStr">
        <is>
          <t>GAGNEF</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1421-2026</t>
        </is>
      </c>
      <c r="B200" t="inlineStr">
        <is>
          <t>avverkningsanmälan</t>
        </is>
      </c>
      <c r="C200" t="inlineStr">
        <is>
          <t>Föryngringsavverkning</t>
        </is>
      </c>
      <c r="D200" s="1" t="n">
        <v>46031</v>
      </c>
      <c r="E200" s="1" t="n">
        <v>46298</v>
      </c>
      <c r="F200" t="inlineStr">
        <is>
          <t>DALARNAS LÄN</t>
        </is>
      </c>
      <c r="G200" t="inlineStr">
        <is>
          <t>GAGNEF</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60308-2024</t>
        </is>
      </c>
      <c r="B201" t="inlineStr">
        <is>
          <t>avverkningsanmälan</t>
        </is>
      </c>
      <c r="C201" t="inlineStr">
        <is>
          <t>Föryngringsavverkning</t>
        </is>
      </c>
      <c r="D201" s="1" t="n">
        <v>45643</v>
      </c>
      <c r="E201" s="1" t="n">
        <v>46298</v>
      </c>
      <c r="F201" t="inlineStr">
        <is>
          <t>DALARNAS LÄN</t>
        </is>
      </c>
      <c r="G201" t="inlineStr">
        <is>
          <t>GAGNEF</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4826-2026</t>
        </is>
      </c>
      <c r="B202" t="inlineStr">
        <is>
          <t>avverkningsanmälan</t>
        </is>
      </c>
      <c r="C202" t="inlineStr">
        <is>
          <t>Föryngringsavverkning</t>
        </is>
      </c>
      <c r="D202" s="1" t="n">
        <v>46048</v>
      </c>
      <c r="E202" s="1" t="n">
        <v>46298</v>
      </c>
      <c r="F202" t="inlineStr">
        <is>
          <t>DALARNAS LÄN</t>
        </is>
      </c>
      <c r="G202" t="inlineStr">
        <is>
          <t>GAGNEF</t>
        </is>
      </c>
      <c r="I202" t="n">
        <v>8.699999999999999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20455-2026</t>
        </is>
      </c>
      <c r="B203" t="inlineStr">
        <is>
          <t>avverkningsanmälan</t>
        </is>
      </c>
      <c r="C203" t="inlineStr">
        <is>
          <t>Föryngringsavverkning</t>
        </is>
      </c>
      <c r="D203" s="1" t="n">
        <v>46140</v>
      </c>
      <c r="E203" s="1" t="n">
        <v>46298</v>
      </c>
      <c r="F203" t="inlineStr">
        <is>
          <t>DALARNAS LÄN</t>
        </is>
      </c>
      <c r="G203" t="inlineStr">
        <is>
          <t>GAGNEF</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2505-2024</t>
        </is>
      </c>
      <c r="B204" t="inlineStr">
        <is>
          <t>avverkningsanmälan</t>
        </is>
      </c>
      <c r="C204" t="inlineStr">
        <is>
          <t>Föryngringsavverkning</t>
        </is>
      </c>
      <c r="D204" s="1" t="n">
        <v>45313</v>
      </c>
      <c r="E204" s="1" t="n">
        <v>46298</v>
      </c>
      <c r="F204" t="inlineStr">
        <is>
          <t>DALARNAS LÄN</t>
        </is>
      </c>
      <c r="G204" t="inlineStr">
        <is>
          <t>GAGNEF</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8970-2026</t>
        </is>
      </c>
      <c r="B205" t="inlineStr">
        <is>
          <t>avverkningsanmälan</t>
        </is>
      </c>
      <c r="C205" t="inlineStr">
        <is>
          <t>Föryngringsavverkning</t>
        </is>
      </c>
      <c r="D205" s="1" t="n">
        <v>46069</v>
      </c>
      <c r="E205" s="1" t="n">
        <v>46298</v>
      </c>
      <c r="F205" t="inlineStr">
        <is>
          <t>DALARNAS LÄN</t>
        </is>
      </c>
      <c r="G205" t="inlineStr">
        <is>
          <t>GAGNEF</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5347-2025</t>
        </is>
      </c>
      <c r="B206" t="inlineStr">
        <is>
          <t>avverkningsanmälan</t>
        </is>
      </c>
      <c r="C206" t="inlineStr">
        <is>
          <t>Föryngringsavverkning</t>
        </is>
      </c>
      <c r="D206" s="1" t="n">
        <v>45692</v>
      </c>
      <c r="E206" s="1" t="n">
        <v>46298</v>
      </c>
      <c r="F206" t="inlineStr">
        <is>
          <t>DALARNAS LÄN</t>
        </is>
      </c>
      <c r="G206" t="inlineStr">
        <is>
          <t>GAGNEF</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43713-2025</t>
        </is>
      </c>
      <c r="B207" t="inlineStr">
        <is>
          <t>avverkningsanmälan</t>
        </is>
      </c>
      <c r="C207" t="inlineStr">
        <is>
          <t>Föryngringsavverkning</t>
        </is>
      </c>
      <c r="D207" s="1" t="n">
        <v>45912</v>
      </c>
      <c r="E207" s="1" t="n">
        <v>46298</v>
      </c>
      <c r="F207" t="inlineStr">
        <is>
          <t>DALARNAS LÄN</t>
        </is>
      </c>
      <c r="G207" t="inlineStr">
        <is>
          <t>GAGNEF</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33168-2022</t>
        </is>
      </c>
      <c r="B208" t="inlineStr">
        <is>
          <t>avverkningsanmälan</t>
        </is>
      </c>
      <c r="C208" t="inlineStr">
        <is>
          <t>Föryngringsavverkning</t>
        </is>
      </c>
      <c r="D208" s="1" t="n">
        <v>44785</v>
      </c>
      <c r="E208" s="1" t="n">
        <v>46298</v>
      </c>
      <c r="F208" t="inlineStr">
        <is>
          <t>DALARNAS LÄN</t>
        </is>
      </c>
      <c r="G208" t="inlineStr">
        <is>
          <t>GAGNEF</t>
        </is>
      </c>
      <c r="H208" t="inlineStr">
        <is>
          <t>Bergvik skog väst AB</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4105-2026</t>
        </is>
      </c>
      <c r="B209" t="inlineStr">
        <is>
          <t>avverkningsanmälan</t>
        </is>
      </c>
      <c r="C209" t="inlineStr">
        <is>
          <t>Föryngringsavverkning</t>
        </is>
      </c>
      <c r="D209" s="1" t="n">
        <v>46044</v>
      </c>
      <c r="E209" s="1" t="n">
        <v>46298</v>
      </c>
      <c r="F209" t="inlineStr">
        <is>
          <t>DALARNAS LÄN</t>
        </is>
      </c>
      <c r="G209" t="inlineStr">
        <is>
          <t>GAGNEF</t>
        </is>
      </c>
      <c r="H209" t="inlineStr">
        <is>
          <t>Bergvik skog väst AB</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11397-2026</t>
        </is>
      </c>
      <c r="B210" t="inlineStr">
        <is>
          <t>avverkningsanmälan</t>
        </is>
      </c>
      <c r="C210" t="inlineStr">
        <is>
          <t>Föryngringsavverkning</t>
        </is>
      </c>
      <c r="D210" s="1" t="n">
        <v>46083</v>
      </c>
      <c r="E210" s="1" t="n">
        <v>46298</v>
      </c>
      <c r="F210" t="inlineStr">
        <is>
          <t>DALARNAS LÄN</t>
        </is>
      </c>
      <c r="G210" t="inlineStr">
        <is>
          <t>GAGNEF</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63203-2023</t>
        </is>
      </c>
      <c r="B211" t="inlineStr">
        <is>
          <t>avverkningsanmälan</t>
        </is>
      </c>
      <c r="C211" t="inlineStr">
        <is>
          <t>Föryngringsavverkning</t>
        </is>
      </c>
      <c r="D211" s="1" t="n">
        <v>45273</v>
      </c>
      <c r="E211" s="1" t="n">
        <v>46298</v>
      </c>
      <c r="F211" t="inlineStr">
        <is>
          <t>DALARNAS LÄN</t>
        </is>
      </c>
      <c r="G211" t="inlineStr">
        <is>
          <t>GAGNEF</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3816-2025</t>
        </is>
      </c>
      <c r="B212" t="inlineStr">
        <is>
          <t>avverkningsanmälan</t>
        </is>
      </c>
      <c r="C212" t="inlineStr">
        <is>
          <t>Föryngringsavverkning</t>
        </is>
      </c>
      <c r="D212" s="1" t="n">
        <v>45681</v>
      </c>
      <c r="E212" s="1" t="n">
        <v>46298</v>
      </c>
      <c r="F212" t="inlineStr">
        <is>
          <t>DALARNAS LÄN</t>
        </is>
      </c>
      <c r="G212" t="inlineStr">
        <is>
          <t>GAGNEF</t>
        </is>
      </c>
      <c r="I212" t="n">
        <v>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19033-2024</t>
        </is>
      </c>
      <c r="B213" t="inlineStr">
        <is>
          <t>avverkningsanmälan</t>
        </is>
      </c>
      <c r="C213" t="inlineStr">
        <is>
          <t>Föryngringsavverkning</t>
        </is>
      </c>
      <c r="D213" s="1" t="n">
        <v>45427</v>
      </c>
      <c r="E213" s="1" t="n">
        <v>46298</v>
      </c>
      <c r="F213" t="inlineStr">
        <is>
          <t>DALARNAS LÄN</t>
        </is>
      </c>
      <c r="G213" t="inlineStr">
        <is>
          <t>GAGNEF</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21594-2026</t>
        </is>
      </c>
      <c r="B214" t="inlineStr">
        <is>
          <t>avverkningsanmälan</t>
        </is>
      </c>
      <c r="C214" t="inlineStr">
        <is>
          <t>Föryngringsavverkning</t>
        </is>
      </c>
      <c r="D214" s="1" t="n">
        <v>46149</v>
      </c>
      <c r="E214" s="1" t="n">
        <v>46298</v>
      </c>
      <c r="F214" t="inlineStr">
        <is>
          <t>DALARNAS LÄN</t>
        </is>
      </c>
      <c r="G214" t="inlineStr">
        <is>
          <t>GAGNEF</t>
        </is>
      </c>
      <c r="H214" t="inlineStr">
        <is>
          <t>Bergvik skog väst AB</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7344-2024</t>
        </is>
      </c>
      <c r="B215" t="inlineStr">
        <is>
          <t>avverkningsanmälan</t>
        </is>
      </c>
      <c r="C215" t="inlineStr">
        <is>
          <t>Föryngringsavverkning</t>
        </is>
      </c>
      <c r="D215" s="1" t="n">
        <v>45345</v>
      </c>
      <c r="E215" s="1" t="n">
        <v>46298</v>
      </c>
      <c r="F215" t="inlineStr">
        <is>
          <t>DALARNAS LÄN</t>
        </is>
      </c>
      <c r="G215" t="inlineStr">
        <is>
          <t>GAGNEF</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48867-2024</t>
        </is>
      </c>
      <c r="B216" t="inlineStr">
        <is>
          <t>avverkningsanmälan</t>
        </is>
      </c>
      <c r="C216" t="inlineStr">
        <is>
          <t>Föryngringsavverkning</t>
        </is>
      </c>
      <c r="D216" s="1" t="n">
        <v>45594</v>
      </c>
      <c r="E216" s="1" t="n">
        <v>46298</v>
      </c>
      <c r="F216" t="inlineStr">
        <is>
          <t>DALARNAS LÄN</t>
        </is>
      </c>
      <c r="G216" t="inlineStr">
        <is>
          <t>GAGNEF</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22405-2026</t>
        </is>
      </c>
      <c r="B217" t="inlineStr">
        <is>
          <t>avverkningsanmälan</t>
        </is>
      </c>
      <c r="C217" t="inlineStr">
        <is>
          <t>Föryngringsavverkning</t>
        </is>
      </c>
      <c r="D217" s="1" t="n">
        <v>46154</v>
      </c>
      <c r="E217" s="1" t="n">
        <v>46298</v>
      </c>
      <c r="F217" t="inlineStr">
        <is>
          <t>DALARNAS LÄN</t>
        </is>
      </c>
      <c r="G217" t="inlineStr">
        <is>
          <t>GAGNEF</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44572-2024</t>
        </is>
      </c>
      <c r="B218" t="inlineStr">
        <is>
          <t>avverkningsanmälan</t>
        </is>
      </c>
      <c r="C218" t="inlineStr">
        <is>
          <t>Föryngringsavverkning</t>
        </is>
      </c>
      <c r="D218" s="1" t="n">
        <v>45574</v>
      </c>
      <c r="E218" s="1" t="n">
        <v>46298</v>
      </c>
      <c r="F218" t="inlineStr">
        <is>
          <t>DALARNAS LÄN</t>
        </is>
      </c>
      <c r="G218" t="inlineStr">
        <is>
          <t>GAGNEF</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61872-2024</t>
        </is>
      </c>
      <c r="B219" t="inlineStr">
        <is>
          <t>avverkningsanmälan</t>
        </is>
      </c>
      <c r="C219" t="inlineStr">
        <is>
          <t>Föryngringsavverkning</t>
        </is>
      </c>
      <c r="D219" s="1" t="n">
        <v>45651</v>
      </c>
      <c r="E219" s="1" t="n">
        <v>46298</v>
      </c>
      <c r="F219" t="inlineStr">
        <is>
          <t>DALARNAS LÄN</t>
        </is>
      </c>
      <c r="G219" t="inlineStr">
        <is>
          <t>GAGNEF</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45057-2025</t>
        </is>
      </c>
      <c r="B220" t="inlineStr">
        <is>
          <t>avverkningsanmälan</t>
        </is>
      </c>
      <c r="C220" t="inlineStr">
        <is>
          <t>Föryngringsavverkning</t>
        </is>
      </c>
      <c r="D220" s="1" t="n">
        <v>45919</v>
      </c>
      <c r="E220" s="1" t="n">
        <v>46298</v>
      </c>
      <c r="F220" t="inlineStr">
        <is>
          <t>DALARNAS LÄN</t>
        </is>
      </c>
      <c r="G220" t="inlineStr">
        <is>
          <t>GAGNEF</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45596-2023</t>
        </is>
      </c>
      <c r="B221" t="inlineStr">
        <is>
          <t>avverkningsanmälan</t>
        </is>
      </c>
      <c r="C221" t="inlineStr">
        <is>
          <t>Föryngringsavverkning</t>
        </is>
      </c>
      <c r="D221" s="1" t="n">
        <v>45194</v>
      </c>
      <c r="E221" s="1" t="n">
        <v>46298</v>
      </c>
      <c r="F221" t="inlineStr">
        <is>
          <t>DALARNAS LÄN</t>
        </is>
      </c>
      <c r="G221" t="inlineStr">
        <is>
          <t>GAGNEF</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57729-2022</t>
        </is>
      </c>
      <c r="B222" t="inlineStr">
        <is>
          <t>avverkningsanmälan</t>
        </is>
      </c>
      <c r="C222" t="inlineStr">
        <is>
          <t>Föryngringsavverkning</t>
        </is>
      </c>
      <c r="D222" s="1" t="n">
        <v>44897</v>
      </c>
      <c r="E222" s="1" t="n">
        <v>46298</v>
      </c>
      <c r="F222" t="inlineStr">
        <is>
          <t>DALARNAS LÄN</t>
        </is>
      </c>
      <c r="G222" t="inlineStr">
        <is>
          <t>GAGNEF</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60021-2023</t>
        </is>
      </c>
      <c r="B223" t="inlineStr">
        <is>
          <t>avverkningsanmälan</t>
        </is>
      </c>
      <c r="C223" t="inlineStr">
        <is>
          <t>Föryngringsavverkning</t>
        </is>
      </c>
      <c r="D223" s="1" t="n">
        <v>45258</v>
      </c>
      <c r="E223" s="1" t="n">
        <v>46298</v>
      </c>
      <c r="F223" t="inlineStr">
        <is>
          <t>DALARNAS LÄN</t>
        </is>
      </c>
      <c r="G223" t="inlineStr">
        <is>
          <t>GAGNEF</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24174-2026</t>
        </is>
      </c>
      <c r="B224" t="inlineStr">
        <is>
          <t>avverkningsanmälan</t>
        </is>
      </c>
      <c r="C224" t="inlineStr">
        <is>
          <t>Föryngringsavverkning</t>
        </is>
      </c>
      <c r="D224" s="1" t="n">
        <v>46168</v>
      </c>
      <c r="E224" s="1" t="n">
        <v>46298</v>
      </c>
      <c r="F224" t="inlineStr">
        <is>
          <t>DALARNAS LÄN</t>
        </is>
      </c>
      <c r="G224" t="inlineStr">
        <is>
          <t>GAGNEF</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24038-2026</t>
        </is>
      </c>
      <c r="B225" t="inlineStr">
        <is>
          <t>avverkningsanmälan</t>
        </is>
      </c>
      <c r="C225" t="inlineStr">
        <is>
          <t>Föryngringsavverkning</t>
        </is>
      </c>
      <c r="D225" s="1" t="n">
        <v>46167</v>
      </c>
      <c r="E225" s="1" t="n">
        <v>46298</v>
      </c>
      <c r="F225" t="inlineStr">
        <is>
          <t>DALARNAS LÄN</t>
        </is>
      </c>
      <c r="G225" t="inlineStr">
        <is>
          <t>GAGNEF</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17322-2024</t>
        </is>
      </c>
      <c r="B226" t="inlineStr">
        <is>
          <t>avverkningsanmälan</t>
        </is>
      </c>
      <c r="C226" t="inlineStr">
        <is>
          <t>Föryngringsavverkning</t>
        </is>
      </c>
      <c r="D226" s="1" t="n">
        <v>45414</v>
      </c>
      <c r="E226" s="1" t="n">
        <v>46298</v>
      </c>
      <c r="F226" t="inlineStr">
        <is>
          <t>DALARNAS LÄN</t>
        </is>
      </c>
      <c r="G226" t="inlineStr">
        <is>
          <t>GAGNEF</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4397-2026</t>
        </is>
      </c>
      <c r="B227" t="inlineStr">
        <is>
          <t>avverkningsanmälan</t>
        </is>
      </c>
      <c r="C227" t="inlineStr">
        <is>
          <t>Föryngringsavverkning</t>
        </is>
      </c>
      <c r="D227" s="1" t="n">
        <v>46045</v>
      </c>
      <c r="E227" s="1" t="n">
        <v>46298</v>
      </c>
      <c r="F227" t="inlineStr">
        <is>
          <t>DALARNAS LÄN</t>
        </is>
      </c>
      <c r="G227" t="inlineStr">
        <is>
          <t>GAGNEF</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2173-2024</t>
        </is>
      </c>
      <c r="B228" t="inlineStr">
        <is>
          <t>avverkningsanmälan</t>
        </is>
      </c>
      <c r="C228" t="inlineStr">
        <is>
          <t>Föryngringsavverkning</t>
        </is>
      </c>
      <c r="D228" s="1" t="n">
        <v>45309</v>
      </c>
      <c r="E228" s="1" t="n">
        <v>46298</v>
      </c>
      <c r="F228" t="inlineStr">
        <is>
          <t>DALARNAS LÄN</t>
        </is>
      </c>
      <c r="G228" t="inlineStr">
        <is>
          <t>GAGNEF</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24866-2026</t>
        </is>
      </c>
      <c r="B229" t="inlineStr">
        <is>
          <t>avverkningsanmälan</t>
        </is>
      </c>
      <c r="C229" t="inlineStr">
        <is>
          <t>Föryngringsavverkning</t>
        </is>
      </c>
      <c r="D229" s="1" t="n">
        <v>46174</v>
      </c>
      <c r="E229" s="1" t="n">
        <v>46298</v>
      </c>
      <c r="F229" t="inlineStr">
        <is>
          <t>DALARNAS LÄN</t>
        </is>
      </c>
      <c r="G229" t="inlineStr">
        <is>
          <t>GAGNEF</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60652-2023</t>
        </is>
      </c>
      <c r="B230" t="inlineStr">
        <is>
          <t>avverkningsanmälan</t>
        </is>
      </c>
      <c r="C230" t="inlineStr">
        <is>
          <t>Föryngringsavverkning</t>
        </is>
      </c>
      <c r="D230" s="1" t="n">
        <v>45260</v>
      </c>
      <c r="E230" s="1" t="n">
        <v>46298</v>
      </c>
      <c r="F230" t="inlineStr">
        <is>
          <t>DALARNAS LÄN</t>
        </is>
      </c>
      <c r="G230" t="inlineStr">
        <is>
          <t>GAGNEF</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63952-2021</t>
        </is>
      </c>
      <c r="B231" t="inlineStr">
        <is>
          <t>avverkningsanmälan</t>
        </is>
      </c>
      <c r="C231" t="inlineStr">
        <is>
          <t>Föryngringsavverkning</t>
        </is>
      </c>
      <c r="D231" s="1" t="n">
        <v>44509</v>
      </c>
      <c r="E231" s="1" t="n">
        <v>46298</v>
      </c>
      <c r="F231" t="inlineStr">
        <is>
          <t>DALARNAS LÄN</t>
        </is>
      </c>
      <c r="G231" t="inlineStr">
        <is>
          <t>GAGNEF</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24856-2026</t>
        </is>
      </c>
      <c r="B232" t="inlineStr">
        <is>
          <t>avverkningsanmälan</t>
        </is>
      </c>
      <c r="C232" t="inlineStr">
        <is>
          <t>Föryngringsavverkning</t>
        </is>
      </c>
      <c r="D232" s="1" t="n">
        <v>46174</v>
      </c>
      <c r="E232" s="1" t="n">
        <v>46298</v>
      </c>
      <c r="F232" t="inlineStr">
        <is>
          <t>DALARNAS LÄN</t>
        </is>
      </c>
      <c r="G232" t="inlineStr">
        <is>
          <t>GAGNEF</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24111-2026</t>
        </is>
      </c>
      <c r="B233" t="inlineStr">
        <is>
          <t>avverkningsanmälan</t>
        </is>
      </c>
      <c r="C233" t="inlineStr">
        <is>
          <t>Föryngringsavverkning</t>
        </is>
      </c>
      <c r="D233" s="1" t="n">
        <v>46168</v>
      </c>
      <c r="E233" s="1" t="n">
        <v>46298</v>
      </c>
      <c r="F233" t="inlineStr">
        <is>
          <t>DALARNAS LÄN</t>
        </is>
      </c>
      <c r="G233" t="inlineStr">
        <is>
          <t>GAGNEF</t>
        </is>
      </c>
      <c r="H233" t="inlineStr">
        <is>
          <t>Bergvik skog väst AB</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2443-2024</t>
        </is>
      </c>
      <c r="B234" t="inlineStr">
        <is>
          <t>avverkningsanmälan</t>
        </is>
      </c>
      <c r="C234" t="inlineStr">
        <is>
          <t>Föryngringsavverkning</t>
        </is>
      </c>
      <c r="D234" s="1" t="n">
        <v>45311</v>
      </c>
      <c r="E234" s="1" t="n">
        <v>46298</v>
      </c>
      <c r="F234" t="inlineStr">
        <is>
          <t>DALARNAS LÄN</t>
        </is>
      </c>
      <c r="G234" t="inlineStr">
        <is>
          <t>GAGNEF</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68330-2021</t>
        </is>
      </c>
      <c r="B235" t="inlineStr">
        <is>
          <t>avverkningsanmälan</t>
        </is>
      </c>
      <c r="C235" t="inlineStr">
        <is>
          <t>Föryngringsavverkning</t>
        </is>
      </c>
      <c r="D235" s="1" t="n">
        <v>44527</v>
      </c>
      <c r="E235" s="1" t="n">
        <v>46298</v>
      </c>
      <c r="F235" t="inlineStr">
        <is>
          <t>DALARNAS LÄN</t>
        </is>
      </c>
      <c r="G235" t="inlineStr">
        <is>
          <t>GAGNEF</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18412-2024</t>
        </is>
      </c>
      <c r="B236" t="inlineStr">
        <is>
          <t>avverkningsanmälan</t>
        </is>
      </c>
      <c r="C236" t="inlineStr">
        <is>
          <t>Föryngringsavverkning</t>
        </is>
      </c>
      <c r="D236" s="1" t="n">
        <v>45425</v>
      </c>
      <c r="E236" s="1" t="n">
        <v>46298</v>
      </c>
      <c r="F236" t="inlineStr">
        <is>
          <t>DALARNAS LÄN</t>
        </is>
      </c>
      <c r="G236" t="inlineStr">
        <is>
          <t>GAGNEF</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37870-2022</t>
        </is>
      </c>
      <c r="B237" t="inlineStr">
        <is>
          <t>avverkningsanmälan</t>
        </is>
      </c>
      <c r="C237" t="inlineStr">
        <is>
          <t>Föryngringsavverkning</t>
        </is>
      </c>
      <c r="D237" s="1" t="n">
        <v>44811</v>
      </c>
      <c r="E237" s="1" t="n">
        <v>46298</v>
      </c>
      <c r="F237" t="inlineStr">
        <is>
          <t>DALARNAS LÄN</t>
        </is>
      </c>
      <c r="G237" t="inlineStr">
        <is>
          <t>GAGNEF</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26300-2026</t>
        </is>
      </c>
      <c r="B238" t="inlineStr">
        <is>
          <t>avverkningsanmälan</t>
        </is>
      </c>
      <c r="C238" t="inlineStr">
        <is>
          <t>Föryngringsavverkning</t>
        </is>
      </c>
      <c r="D238" s="1" t="n">
        <v>46182</v>
      </c>
      <c r="E238" s="1" t="n">
        <v>46298</v>
      </c>
      <c r="F238" t="inlineStr">
        <is>
          <t>DALARNAS LÄN</t>
        </is>
      </c>
      <c r="G238" t="inlineStr">
        <is>
          <t>GAGNEF</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42677-2024</t>
        </is>
      </c>
      <c r="B239" t="inlineStr">
        <is>
          <t>avverkningsanmälan</t>
        </is>
      </c>
      <c r="C239" t="inlineStr">
        <is>
          <t>Föryngringsavverkning</t>
        </is>
      </c>
      <c r="D239" s="1" t="n">
        <v>45566</v>
      </c>
      <c r="E239" s="1" t="n">
        <v>46298</v>
      </c>
      <c r="F239" t="inlineStr">
        <is>
          <t>DALARNAS LÄN</t>
        </is>
      </c>
      <c r="G239" t="inlineStr">
        <is>
          <t>GAGNEF</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39367-2023</t>
        </is>
      </c>
      <c r="B240" t="inlineStr">
        <is>
          <t>avverkningsanmälan</t>
        </is>
      </c>
      <c r="C240" t="inlineStr">
        <is>
          <t>Föryngringsavverkning</t>
        </is>
      </c>
      <c r="D240" s="1" t="n">
        <v>45166</v>
      </c>
      <c r="E240" s="1" t="n">
        <v>46298</v>
      </c>
      <c r="F240" t="inlineStr">
        <is>
          <t>DALARNAS LÄN</t>
        </is>
      </c>
      <c r="G240" t="inlineStr">
        <is>
          <t>GAGNEF</t>
        </is>
      </c>
      <c r="H240" t="inlineStr">
        <is>
          <t>Bergvik skog väst AB</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27523-2026</t>
        </is>
      </c>
      <c r="B241" t="inlineStr">
        <is>
          <t>avverkningsanmälan</t>
        </is>
      </c>
      <c r="C241" t="inlineStr">
        <is>
          <t>Föryngringsavverkning</t>
        </is>
      </c>
      <c r="D241" s="1" t="n">
        <v>46185</v>
      </c>
      <c r="E241" s="1" t="n">
        <v>46298</v>
      </c>
      <c r="F241" t="inlineStr">
        <is>
          <t>DALARNAS LÄN</t>
        </is>
      </c>
      <c r="G241" t="inlineStr">
        <is>
          <t>GAGNEF</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63648-2023</t>
        </is>
      </c>
      <c r="B242" t="inlineStr">
        <is>
          <t>avverkningsanmälan</t>
        </is>
      </c>
      <c r="C242" t="inlineStr">
        <is>
          <t>Föryngringsavverkning</t>
        </is>
      </c>
      <c r="D242" s="1" t="n">
        <v>45275</v>
      </c>
      <c r="E242" s="1" t="n">
        <v>46298</v>
      </c>
      <c r="F242" t="inlineStr">
        <is>
          <t>DALARNAS LÄN</t>
        </is>
      </c>
      <c r="G242" t="inlineStr">
        <is>
          <t>GAGNEF</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52437-2024</t>
        </is>
      </c>
      <c r="B243" t="inlineStr">
        <is>
          <t>avverkningsanmälan</t>
        </is>
      </c>
      <c r="C243" t="inlineStr">
        <is>
          <t>Föryngringsavverkning</t>
        </is>
      </c>
      <c r="D243" s="1" t="n">
        <v>45608</v>
      </c>
      <c r="E243" s="1" t="n">
        <v>46298</v>
      </c>
      <c r="F243" t="inlineStr">
        <is>
          <t>DALARNAS LÄN</t>
        </is>
      </c>
      <c r="G243" t="inlineStr">
        <is>
          <t>GAGNEF</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35526-2024</t>
        </is>
      </c>
      <c r="B244" t="inlineStr">
        <is>
          <t>avverkningsanmälan</t>
        </is>
      </c>
      <c r="C244" t="inlineStr">
        <is>
          <t>Föryngringsavverkning</t>
        </is>
      </c>
      <c r="D244" s="1" t="n">
        <v>45531</v>
      </c>
      <c r="E244" s="1" t="n">
        <v>46298</v>
      </c>
      <c r="F244" t="inlineStr">
        <is>
          <t>DALARNAS LÄN</t>
        </is>
      </c>
      <c r="G244" t="inlineStr">
        <is>
          <t>GAGNEF</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18956-2025</t>
        </is>
      </c>
      <c r="B245" t="inlineStr">
        <is>
          <t>avverkningsanmälan</t>
        </is>
      </c>
      <c r="C245" t="inlineStr">
        <is>
          <t>Föryngringsavverkning</t>
        </is>
      </c>
      <c r="D245" s="1" t="n">
        <v>45764</v>
      </c>
      <c r="E245" s="1" t="n">
        <v>46298</v>
      </c>
      <c r="F245" t="inlineStr">
        <is>
          <t>DALARNAS LÄN</t>
        </is>
      </c>
      <c r="G245" t="inlineStr">
        <is>
          <t>GAGNEF</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28192-2026</t>
        </is>
      </c>
      <c r="B246" t="inlineStr">
        <is>
          <t>avverkningsanmälan</t>
        </is>
      </c>
      <c r="C246" t="inlineStr">
        <is>
          <t>Föryngringsavverkning</t>
        </is>
      </c>
      <c r="D246" s="1" t="n">
        <v>46195</v>
      </c>
      <c r="E246" s="1" t="n">
        <v>46298</v>
      </c>
      <c r="F246" t="inlineStr">
        <is>
          <t>DALARNAS LÄN</t>
        </is>
      </c>
      <c r="G246" t="inlineStr">
        <is>
          <t>GAGNEF</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36891-2024</t>
        </is>
      </c>
      <c r="B247" t="inlineStr">
        <is>
          <t>avverkningsanmälan</t>
        </is>
      </c>
      <c r="C247" t="inlineStr">
        <is>
          <t>Föryngringsavverkning</t>
        </is>
      </c>
      <c r="D247" s="1" t="n">
        <v>45538</v>
      </c>
      <c r="E247" s="1" t="n">
        <v>46298</v>
      </c>
      <c r="F247" t="inlineStr">
        <is>
          <t>DALARNAS LÄN</t>
        </is>
      </c>
      <c r="G247" t="inlineStr">
        <is>
          <t>GAGNEF</t>
        </is>
      </c>
      <c r="H247" t="inlineStr">
        <is>
          <t>Bergvik skog väst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326-2024</t>
        </is>
      </c>
      <c r="B248" t="inlineStr">
        <is>
          <t>avverkningsanmälan</t>
        </is>
      </c>
      <c r="C248" t="inlineStr">
        <is>
          <t>Föryngringsavverkning</t>
        </is>
      </c>
      <c r="D248" s="1" t="n">
        <v>45295</v>
      </c>
      <c r="E248" s="1" t="n">
        <v>46298</v>
      </c>
      <c r="F248" t="inlineStr">
        <is>
          <t>DALARNAS LÄN</t>
        </is>
      </c>
      <c r="G248" t="inlineStr">
        <is>
          <t>GAGNEF</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57134-2022</t>
        </is>
      </c>
      <c r="B249" t="inlineStr">
        <is>
          <t>avverkningsanmälan</t>
        </is>
      </c>
      <c r="C249" t="inlineStr">
        <is>
          <t>Föryngringsavverkning</t>
        </is>
      </c>
      <c r="D249" s="1" t="n">
        <v>44895</v>
      </c>
      <c r="E249" s="1" t="n">
        <v>46298</v>
      </c>
      <c r="F249" t="inlineStr">
        <is>
          <t>DALARNAS LÄN</t>
        </is>
      </c>
      <c r="G249" t="inlineStr">
        <is>
          <t>GAGNEF</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16174-2023</t>
        </is>
      </c>
      <c r="B250" t="inlineStr">
        <is>
          <t>avverkningsanmälan</t>
        </is>
      </c>
      <c r="C250" t="inlineStr">
        <is>
          <t>Avverkning för att bevara och utveckla /försöksver</t>
        </is>
      </c>
      <c r="D250" s="1" t="n">
        <v>45027</v>
      </c>
      <c r="E250" s="1" t="n">
        <v>46298</v>
      </c>
      <c r="F250" t="inlineStr">
        <is>
          <t>DALARNAS LÄN</t>
        </is>
      </c>
      <c r="G250" t="inlineStr">
        <is>
          <t>GAGNEF</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52426-2024</t>
        </is>
      </c>
      <c r="B251" t="inlineStr">
        <is>
          <t>avverkningsanmälan</t>
        </is>
      </c>
      <c r="C251" t="inlineStr">
        <is>
          <t>Föryngringsavverkning</t>
        </is>
      </c>
      <c r="D251" s="1" t="n">
        <v>45608</v>
      </c>
      <c r="E251" s="1" t="n">
        <v>46298</v>
      </c>
      <c r="F251" t="inlineStr">
        <is>
          <t>DALARNAS LÄN</t>
        </is>
      </c>
      <c r="G251" t="inlineStr">
        <is>
          <t>GAGNEF</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23489-2024</t>
        </is>
      </c>
      <c r="B252" t="inlineStr">
        <is>
          <t>avverkningsanmälan</t>
        </is>
      </c>
      <c r="C252" t="inlineStr">
        <is>
          <t>Föryngringsavverkning</t>
        </is>
      </c>
      <c r="D252" s="1" t="n">
        <v>45453</v>
      </c>
      <c r="E252" s="1" t="n">
        <v>46298</v>
      </c>
      <c r="F252" t="inlineStr">
        <is>
          <t>DALARNAS LÄN</t>
        </is>
      </c>
      <c r="G252" t="inlineStr">
        <is>
          <t>GAGNEF</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34920-2026</t>
        </is>
      </c>
      <c r="B253" t="inlineStr">
        <is>
          <t>avverkningsanmälan</t>
        </is>
      </c>
      <c r="C253" t="inlineStr">
        <is>
          <t>Föryngringsavverkning</t>
        </is>
      </c>
      <c r="D253" s="1" t="n">
        <v>46259</v>
      </c>
      <c r="E253" s="1" t="n">
        <v>46298</v>
      </c>
      <c r="F253" t="inlineStr">
        <is>
          <t>DALARNAS LÄN</t>
        </is>
      </c>
      <c r="G253" t="inlineStr">
        <is>
          <t>GAGNEF</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34925-2026</t>
        </is>
      </c>
      <c r="B254" t="inlineStr">
        <is>
          <t>avverkningsanmälan</t>
        </is>
      </c>
      <c r="C254" t="inlineStr">
        <is>
          <t>Föryngringsavverkning</t>
        </is>
      </c>
      <c r="D254" s="1" t="n">
        <v>46259</v>
      </c>
      <c r="E254" s="1" t="n">
        <v>46298</v>
      </c>
      <c r="F254" t="inlineStr">
        <is>
          <t>DALARNAS LÄN</t>
        </is>
      </c>
      <c r="G254" t="inlineStr">
        <is>
          <t>GAGNEF</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34915-2026</t>
        </is>
      </c>
      <c r="B255" t="inlineStr">
        <is>
          <t>avverkningsanmälan</t>
        </is>
      </c>
      <c r="C255" t="inlineStr">
        <is>
          <t>Föryngringsavverkning</t>
        </is>
      </c>
      <c r="D255" s="1" t="n">
        <v>46259</v>
      </c>
      <c r="E255" s="1" t="n">
        <v>46298</v>
      </c>
      <c r="F255" t="inlineStr">
        <is>
          <t>DALARNAS LÄN</t>
        </is>
      </c>
      <c r="G255" t="inlineStr">
        <is>
          <t>GAGNEF</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44040-2024</t>
        </is>
      </c>
      <c r="B256" t="inlineStr">
        <is>
          <t>avverkningsanmälan</t>
        </is>
      </c>
      <c r="C256" t="inlineStr">
        <is>
          <t>Föryngringsavverkning</t>
        </is>
      </c>
      <c r="D256" s="1" t="n">
        <v>45572</v>
      </c>
      <c r="E256" s="1" t="n">
        <v>46298</v>
      </c>
      <c r="F256" t="inlineStr">
        <is>
          <t>DALARNAS LÄN</t>
        </is>
      </c>
      <c r="G256" t="inlineStr">
        <is>
          <t>GAGNEF</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34932-2026</t>
        </is>
      </c>
      <c r="B257" t="inlineStr">
        <is>
          <t>avverkningsanmälan</t>
        </is>
      </c>
      <c r="C257" t="inlineStr">
        <is>
          <t>Föryngringsavverkning</t>
        </is>
      </c>
      <c r="D257" s="1" t="n">
        <v>46259</v>
      </c>
      <c r="E257" s="1" t="n">
        <v>46298</v>
      </c>
      <c r="F257" t="inlineStr">
        <is>
          <t>DALARNAS LÄN</t>
        </is>
      </c>
      <c r="G257" t="inlineStr">
        <is>
          <t>GAGNEF</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35024-2026</t>
        </is>
      </c>
      <c r="B258" t="inlineStr">
        <is>
          <t>avverkningsanmälan</t>
        </is>
      </c>
      <c r="C258" t="inlineStr">
        <is>
          <t>Föryngringsavverkning</t>
        </is>
      </c>
      <c r="D258" s="1" t="n">
        <v>46259</v>
      </c>
      <c r="E258" s="1" t="n">
        <v>46298</v>
      </c>
      <c r="F258" t="inlineStr">
        <is>
          <t>DALARNAS LÄN</t>
        </is>
      </c>
      <c r="G258" t="inlineStr">
        <is>
          <t>GAGNEF</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45521-2024</t>
        </is>
      </c>
      <c r="B259" t="inlineStr">
        <is>
          <t>avverkningsanmälan</t>
        </is>
      </c>
      <c r="C259" t="inlineStr">
        <is>
          <t>Föryngringsavverkning</t>
        </is>
      </c>
      <c r="D259" s="1" t="n">
        <v>45578</v>
      </c>
      <c r="E259" s="1" t="n">
        <v>46298</v>
      </c>
      <c r="F259" t="inlineStr">
        <is>
          <t>DALARNAS LÄN</t>
        </is>
      </c>
      <c r="G259" t="inlineStr">
        <is>
          <t>GAGNEF</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41365-2023</t>
        </is>
      </c>
      <c r="B260" t="inlineStr">
        <is>
          <t>avverkningsanmälan</t>
        </is>
      </c>
      <c r="C260" t="inlineStr">
        <is>
          <t>Föryngringsavverkning</t>
        </is>
      </c>
      <c r="D260" s="1" t="n">
        <v>45174</v>
      </c>
      <c r="E260" s="1" t="n">
        <v>46298</v>
      </c>
      <c r="F260" t="inlineStr">
        <is>
          <t>DALARNAS LÄN</t>
        </is>
      </c>
      <c r="G260" t="inlineStr">
        <is>
          <t>GAGNEF</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64925-2021</t>
        </is>
      </c>
      <c r="B261" t="inlineStr">
        <is>
          <t>avverkningsanmälan</t>
        </is>
      </c>
      <c r="C261" t="inlineStr">
        <is>
          <t>Avverkning för att bevara och utveckla /försöksver</t>
        </is>
      </c>
      <c r="D261" s="1" t="n">
        <v>44512</v>
      </c>
      <c r="E261" s="1" t="n">
        <v>46298</v>
      </c>
      <c r="F261" t="inlineStr">
        <is>
          <t>DALARNAS LÄN</t>
        </is>
      </c>
      <c r="G261" t="inlineStr">
        <is>
          <t>GAGNEF</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35560-2026</t>
        </is>
      </c>
      <c r="B262" t="inlineStr">
        <is>
          <t>avverkningsanmälan</t>
        </is>
      </c>
      <c r="C262" t="inlineStr">
        <is>
          <t>Föryngringsavverkning</t>
        </is>
      </c>
      <c r="D262" s="1" t="n">
        <v>46262</v>
      </c>
      <c r="E262" s="1" t="n">
        <v>46298</v>
      </c>
      <c r="F262" t="inlineStr">
        <is>
          <t>DALARNAS LÄN</t>
        </is>
      </c>
      <c r="G262" t="inlineStr">
        <is>
          <t>GAGNEF</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15945-2026</t>
        </is>
      </c>
      <c r="B263" t="inlineStr">
        <is>
          <t>avverkningsanmälan</t>
        </is>
      </c>
      <c r="C263" t="inlineStr">
        <is>
          <t>Föryngringsavverkning</t>
        </is>
      </c>
      <c r="D263" s="1" t="n">
        <v>46107</v>
      </c>
      <c r="E263" s="1" t="n">
        <v>46298</v>
      </c>
      <c r="F263" t="inlineStr">
        <is>
          <t>DALARNAS LÄN</t>
        </is>
      </c>
      <c r="G263" t="inlineStr">
        <is>
          <t>GAGNEF</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34467-2024</t>
        </is>
      </c>
      <c r="B264" t="inlineStr">
        <is>
          <t>avverkningsanmälan</t>
        </is>
      </c>
      <c r="C264" t="inlineStr">
        <is>
          <t>Föryngringsavverkning</t>
        </is>
      </c>
      <c r="D264" s="1" t="n">
        <v>45525</v>
      </c>
      <c r="E264" s="1" t="n">
        <v>46298</v>
      </c>
      <c r="F264" t="inlineStr">
        <is>
          <t>DALARNAS LÄN</t>
        </is>
      </c>
      <c r="G264" t="inlineStr">
        <is>
          <t>GAGNEF</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25024-2023</t>
        </is>
      </c>
      <c r="B265" t="inlineStr">
        <is>
          <t>avverkningsanmälan</t>
        </is>
      </c>
      <c r="C265" t="inlineStr">
        <is>
          <t>Föryngringsavverkning</t>
        </is>
      </c>
      <c r="D265" s="1" t="n">
        <v>45085</v>
      </c>
      <c r="E265" s="1" t="n">
        <v>46298</v>
      </c>
      <c r="F265" t="inlineStr">
        <is>
          <t>DALARNAS LÄN</t>
        </is>
      </c>
      <c r="G265" t="inlineStr">
        <is>
          <t>GAGNEF</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337-2025</t>
        </is>
      </c>
      <c r="B266" t="inlineStr">
        <is>
          <t>avverkningsanmälan</t>
        </is>
      </c>
      <c r="C266" t="inlineStr">
        <is>
          <t>Föryngringsavverkning</t>
        </is>
      </c>
      <c r="D266" s="1" t="n">
        <v>45660</v>
      </c>
      <c r="E266" s="1" t="n">
        <v>46298</v>
      </c>
      <c r="F266" t="inlineStr">
        <is>
          <t>DALARNAS LÄN</t>
        </is>
      </c>
      <c r="G266" t="inlineStr">
        <is>
          <t>GAGNEF</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17854-2024</t>
        </is>
      </c>
      <c r="B267" t="inlineStr">
        <is>
          <t>avverkningsanmälan</t>
        </is>
      </c>
      <c r="C267" t="inlineStr">
        <is>
          <t>Föryngringsavverkning</t>
        </is>
      </c>
      <c r="D267" s="1" t="n">
        <v>45419</v>
      </c>
      <c r="E267" s="1" t="n">
        <v>46298</v>
      </c>
      <c r="F267" t="inlineStr">
        <is>
          <t>DALARNAS LÄN</t>
        </is>
      </c>
      <c r="G267" t="inlineStr">
        <is>
          <t>GAGNEF</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31804-2024</t>
        </is>
      </c>
      <c r="B268" t="inlineStr">
        <is>
          <t>avverkningsanmälan</t>
        </is>
      </c>
      <c r="C268" t="inlineStr">
        <is>
          <t>Föryngringsavverkning</t>
        </is>
      </c>
      <c r="D268" s="1" t="n">
        <v>45509</v>
      </c>
      <c r="E268" s="1" t="n">
        <v>46298</v>
      </c>
      <c r="F268" t="inlineStr">
        <is>
          <t>DALARNAS LÄN</t>
        </is>
      </c>
      <c r="G268" t="inlineStr">
        <is>
          <t>GAGNEF</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36711-2026</t>
        </is>
      </c>
      <c r="B269" t="inlineStr">
        <is>
          <t>avverkningsanmälan</t>
        </is>
      </c>
      <c r="C269" t="inlineStr">
        <is>
          <t>Föryngringsavverkning</t>
        </is>
      </c>
      <c r="D269" s="1" t="n">
        <v>46272</v>
      </c>
      <c r="E269" s="1" t="n">
        <v>46298</v>
      </c>
      <c r="F269" t="inlineStr">
        <is>
          <t>DALARNAS LÄN</t>
        </is>
      </c>
      <c r="G269" t="inlineStr">
        <is>
          <t>GAGNEF</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41442-2024</t>
        </is>
      </c>
      <c r="B270" t="inlineStr">
        <is>
          <t>avverkningsanmälan</t>
        </is>
      </c>
      <c r="C270" t="inlineStr">
        <is>
          <t>Föryngringsavverkning</t>
        </is>
      </c>
      <c r="D270" s="1" t="n">
        <v>45560</v>
      </c>
      <c r="E270" s="1" t="n">
        <v>46298</v>
      </c>
      <c r="F270" t="inlineStr">
        <is>
          <t>DALARNAS LÄN</t>
        </is>
      </c>
      <c r="G270" t="inlineStr">
        <is>
          <t>GAGNEF</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20486-2024</t>
        </is>
      </c>
      <c r="B271" t="inlineStr">
        <is>
          <t>avverkningsanmälan</t>
        </is>
      </c>
      <c r="C271" t="inlineStr">
        <is>
          <t>Föryngringsavverkning</t>
        </is>
      </c>
      <c r="D271" s="1" t="n">
        <v>45435</v>
      </c>
      <c r="E271" s="1" t="n">
        <v>46298</v>
      </c>
      <c r="F271" t="inlineStr">
        <is>
          <t>DALARNAS LÄN</t>
        </is>
      </c>
      <c r="G271" t="inlineStr">
        <is>
          <t>GAGNEF</t>
        </is>
      </c>
      <c r="I271" t="n">
        <v>10.1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52159-2023</t>
        </is>
      </c>
      <c r="B272" t="inlineStr">
        <is>
          <t>avverkningsanmälan</t>
        </is>
      </c>
      <c r="C272" t="inlineStr">
        <is>
          <t>Föryngringsavverkning</t>
        </is>
      </c>
      <c r="D272" s="1" t="n">
        <v>45224</v>
      </c>
      <c r="E272" s="1" t="n">
        <v>46298</v>
      </c>
      <c r="F272" t="inlineStr">
        <is>
          <t>DALARNAS LÄN</t>
        </is>
      </c>
      <c r="G272" t="inlineStr">
        <is>
          <t>GAGNEF</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32047-2026</t>
        </is>
      </c>
      <c r="B273" t="inlineStr">
        <is>
          <t>avverkningsanmälan</t>
        </is>
      </c>
      <c r="C273" t="inlineStr">
        <is>
          <t>Föryngringsavverkning</t>
        </is>
      </c>
      <c r="D273" s="1" t="n">
        <v>46233</v>
      </c>
      <c r="E273" s="1" t="n">
        <v>46298</v>
      </c>
      <c r="F273" t="inlineStr">
        <is>
          <t>DALARNAS LÄN</t>
        </is>
      </c>
      <c r="G273" t="inlineStr">
        <is>
          <t>GAGNEF</t>
        </is>
      </c>
      <c r="H273" t="inlineStr">
        <is>
          <t>Bergvik skog väst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25853-2024</t>
        </is>
      </c>
      <c r="B274" t="inlineStr">
        <is>
          <t>avverkningsanmälan</t>
        </is>
      </c>
      <c r="C274" t="inlineStr">
        <is>
          <t>Avverkning för annat ändamål</t>
        </is>
      </c>
      <c r="D274" s="1" t="n">
        <v>45467</v>
      </c>
      <c r="E274" s="1" t="n">
        <v>46298</v>
      </c>
      <c r="F274" t="inlineStr">
        <is>
          <t>DALARNAS LÄN</t>
        </is>
      </c>
      <c r="G274" t="inlineStr">
        <is>
          <t>GAGNEF</t>
        </is>
      </c>
      <c r="H274" t="inlineStr">
        <is>
          <t>Bergvik skog väst AB</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6566-2022</t>
        </is>
      </c>
      <c r="B275" t="inlineStr">
        <is>
          <t>avverkningsanmälan</t>
        </is>
      </c>
      <c r="C275" t="inlineStr">
        <is>
          <t>Föryngringsavverkning</t>
        </is>
      </c>
      <c r="D275" s="1" t="n">
        <v>44601</v>
      </c>
      <c r="E275" s="1" t="n">
        <v>46298</v>
      </c>
      <c r="F275" t="inlineStr">
        <is>
          <t>DALARNAS LÄN</t>
        </is>
      </c>
      <c r="G275" t="inlineStr">
        <is>
          <t>GAGNEF</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61871-2024</t>
        </is>
      </c>
      <c r="B276" t="inlineStr">
        <is>
          <t>avverkningsanmälan</t>
        </is>
      </c>
      <c r="C276" t="inlineStr">
        <is>
          <t>Föryngringsavverkning</t>
        </is>
      </c>
      <c r="D276" s="1" t="n">
        <v>45651</v>
      </c>
      <c r="E276" s="1" t="n">
        <v>46298</v>
      </c>
      <c r="F276" t="inlineStr">
        <is>
          <t>DALARNAS LÄN</t>
        </is>
      </c>
      <c r="G276" t="inlineStr">
        <is>
          <t>GAGNEF</t>
        </is>
      </c>
      <c r="H276" t="inlineStr">
        <is>
          <t>Bergvik skog väst AB</t>
        </is>
      </c>
      <c r="I276" t="n">
        <v>10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51231-2023</t>
        </is>
      </c>
      <c r="B277" t="inlineStr">
        <is>
          <t>avverkningsanmälan</t>
        </is>
      </c>
      <c r="C277" t="inlineStr">
        <is>
          <t>Föryngringsavverkning</t>
        </is>
      </c>
      <c r="D277" s="1" t="n">
        <v>45219</v>
      </c>
      <c r="E277" s="1" t="n">
        <v>46298</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31245-2024</t>
        </is>
      </c>
      <c r="B278" t="inlineStr">
        <is>
          <t>avverkningsanmälan</t>
        </is>
      </c>
      <c r="C278" t="inlineStr">
        <is>
          <t>Föryngringsavverkning</t>
        </is>
      </c>
      <c r="D278" s="1" t="n">
        <v>45503</v>
      </c>
      <c r="E278" s="1" t="n">
        <v>46298</v>
      </c>
      <c r="F278" t="inlineStr">
        <is>
          <t>DALARNAS LÄN</t>
        </is>
      </c>
      <c r="G278" t="inlineStr">
        <is>
          <t>GAGNEF</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39508-2026</t>
        </is>
      </c>
      <c r="B279" t="inlineStr">
        <is>
          <t>avverkningsanmälan</t>
        </is>
      </c>
      <c r="C279" t="inlineStr">
        <is>
          <t>Föryngringsavverkning</t>
        </is>
      </c>
      <c r="D279" s="1" t="n">
        <v>46289</v>
      </c>
      <c r="E279" s="1" t="n">
        <v>46298</v>
      </c>
      <c r="F279" t="inlineStr">
        <is>
          <t>DALARNAS LÄN</t>
        </is>
      </c>
      <c r="G279" t="inlineStr">
        <is>
          <t>GAGNEF</t>
        </is>
      </c>
      <c r="H279" t="inlineStr">
        <is>
          <t>Bergvik skog väst AB</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59893-2021</t>
        </is>
      </c>
      <c r="B280" t="inlineStr">
        <is>
          <t>avverkningsanmälan</t>
        </is>
      </c>
      <c r="C280" t="inlineStr">
        <is>
          <t>Föryngringsavverkning</t>
        </is>
      </c>
      <c r="D280" s="1" t="n">
        <v>44494</v>
      </c>
      <c r="E280" s="1" t="n">
        <v>46298</v>
      </c>
      <c r="F280" t="inlineStr">
        <is>
          <t>DALARNAS LÄN</t>
        </is>
      </c>
      <c r="G280" t="inlineStr">
        <is>
          <t>GAGNEF</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10995-2024</t>
        </is>
      </c>
      <c r="B281" t="inlineStr">
        <is>
          <t>avverkningsanmälan</t>
        </is>
      </c>
      <c r="C281" t="inlineStr">
        <is>
          <t>Föryngringsavverkning</t>
        </is>
      </c>
      <c r="D281" s="1" t="n">
        <v>45370</v>
      </c>
      <c r="E281" s="1" t="n">
        <v>46298</v>
      </c>
      <c r="F281" t="inlineStr">
        <is>
          <t>DALARNAS LÄN</t>
        </is>
      </c>
      <c r="G281" t="inlineStr">
        <is>
          <t>GAGNEF</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33633-2026</t>
        </is>
      </c>
      <c r="B282" t="inlineStr">
        <is>
          <t>avverkningsanmälan</t>
        </is>
      </c>
      <c r="C282" t="inlineStr">
        <is>
          <t>Föryngringsavverkning</t>
        </is>
      </c>
      <c r="D282" s="1" t="n">
        <v>46248</v>
      </c>
      <c r="E282" s="1" t="n">
        <v>46298</v>
      </c>
      <c r="F282" t="inlineStr">
        <is>
          <t>DALARNAS LÄN</t>
        </is>
      </c>
      <c r="G282" t="inlineStr">
        <is>
          <t>GAGNEF</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604-2025</t>
        </is>
      </c>
      <c r="B283" t="inlineStr">
        <is>
          <t>avverkningsanmälan</t>
        </is>
      </c>
      <c r="C283" t="inlineStr">
        <is>
          <t>Föryngringsavverkning</t>
        </is>
      </c>
      <c r="D283" s="1" t="n">
        <v>45664</v>
      </c>
      <c r="E283" s="1" t="n">
        <v>46298</v>
      </c>
      <c r="F283" t="inlineStr">
        <is>
          <t>DALARNAS LÄN</t>
        </is>
      </c>
      <c r="G283" t="inlineStr">
        <is>
          <t>GAGNEF</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36011-2023</t>
        </is>
      </c>
      <c r="B284" t="inlineStr">
        <is>
          <t>avverkningsanmälan</t>
        </is>
      </c>
      <c r="C284" t="inlineStr">
        <is>
          <t>Föryngringsavverkning</t>
        </is>
      </c>
      <c r="D284" s="1" t="n">
        <v>45148</v>
      </c>
      <c r="E284" s="1" t="n">
        <v>46298</v>
      </c>
      <c r="F284" t="inlineStr">
        <is>
          <t>DALARNAS LÄN</t>
        </is>
      </c>
      <c r="G284" t="inlineStr">
        <is>
          <t>GAGNEF</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40069-2026</t>
        </is>
      </c>
      <c r="B285" t="inlineStr">
        <is>
          <t>avverkningsanmälan</t>
        </is>
      </c>
      <c r="C285" t="inlineStr">
        <is>
          <t>Föryngringsavverkning</t>
        </is>
      </c>
      <c r="D285" s="1" t="n">
        <v>46293</v>
      </c>
      <c r="E285" s="1" t="n">
        <v>46298</v>
      </c>
      <c r="F285" t="inlineStr">
        <is>
          <t>DALARNAS LÄN</t>
        </is>
      </c>
      <c r="G285" t="inlineStr">
        <is>
          <t>GAGNEF</t>
        </is>
      </c>
      <c r="H285" t="inlineStr">
        <is>
          <t>Bergvik skog väst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38898-2026</t>
        </is>
      </c>
      <c r="B286" t="inlineStr">
        <is>
          <t>avverkningsanmälan</t>
        </is>
      </c>
      <c r="C286" t="inlineStr">
        <is>
          <t>Föryngringsavverkning</t>
        </is>
      </c>
      <c r="D286" s="1" t="n">
        <v>46286</v>
      </c>
      <c r="E286" s="1" t="n">
        <v>46298</v>
      </c>
      <c r="F286" t="inlineStr">
        <is>
          <t>DALARNAS LÄN</t>
        </is>
      </c>
      <c r="G286" t="inlineStr">
        <is>
          <t>GAGNEF</t>
        </is>
      </c>
      <c r="H286" t="inlineStr">
        <is>
          <t>Bergvik skog väst AB</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60667-2023</t>
        </is>
      </c>
      <c r="B287" t="inlineStr">
        <is>
          <t>avverkningsanmälan</t>
        </is>
      </c>
      <c r="C287" t="inlineStr">
        <is>
          <t>Föryngringsavverkning</t>
        </is>
      </c>
      <c r="D287" s="1" t="n">
        <v>45260</v>
      </c>
      <c r="E287" s="1" t="n">
        <v>46298</v>
      </c>
      <c r="F287" t="inlineStr">
        <is>
          <t>DALARNAS LÄN</t>
        </is>
      </c>
      <c r="G287" t="inlineStr">
        <is>
          <t>GAGNEF</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33651-2026</t>
        </is>
      </c>
      <c r="B288" t="inlineStr">
        <is>
          <t>avverkningsanmälan</t>
        </is>
      </c>
      <c r="C288" t="inlineStr">
        <is>
          <t>Föryngringsavverkning</t>
        </is>
      </c>
      <c r="D288" s="1" t="n">
        <v>46248</v>
      </c>
      <c r="E288" s="1" t="n">
        <v>46298</v>
      </c>
      <c r="F288" t="inlineStr">
        <is>
          <t>DALARNAS LÄN</t>
        </is>
      </c>
      <c r="G288" t="inlineStr">
        <is>
          <t>GAGNEF</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56807-2023</t>
        </is>
      </c>
      <c r="B289" t="inlineStr">
        <is>
          <t>avverkningsanmälan</t>
        </is>
      </c>
      <c r="C289" t="inlineStr">
        <is>
          <t>Föryngringsavverkning</t>
        </is>
      </c>
      <c r="D289" s="1" t="n">
        <v>45244</v>
      </c>
      <c r="E289" s="1" t="n">
        <v>46298</v>
      </c>
      <c r="F289" t="inlineStr">
        <is>
          <t>DALARNAS LÄN</t>
        </is>
      </c>
      <c r="G289" t="inlineStr">
        <is>
          <t>GAGNEF</t>
        </is>
      </c>
      <c r="I289" t="n">
        <v>10.9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51138-2022</t>
        </is>
      </c>
      <c r="B290" t="inlineStr">
        <is>
          <t>avverkningsanmälan</t>
        </is>
      </c>
      <c r="C290" t="inlineStr">
        <is>
          <t>Föryngringsavverkning</t>
        </is>
      </c>
      <c r="D290" s="1" t="n">
        <v>44868</v>
      </c>
      <c r="E290" s="1" t="n">
        <v>46298</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40979-2026</t>
        </is>
      </c>
      <c r="B291" t="inlineStr">
        <is>
          <t>avverkningsanmälan</t>
        </is>
      </c>
      <c r="C291" t="inlineStr">
        <is>
          <t>Föryngringsavverkning</t>
        </is>
      </c>
      <c r="D291" s="1" t="n">
        <v>46297</v>
      </c>
      <c r="E291" s="1" t="n">
        <v>46298</v>
      </c>
      <c r="F291" t="inlineStr">
        <is>
          <t>DALARNAS LÄN</t>
        </is>
      </c>
      <c r="G291" t="inlineStr">
        <is>
          <t>GAGNEF</t>
        </is>
      </c>
      <c r="H291" t="inlineStr">
        <is>
          <t>Kommuner</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5859-2025</t>
        </is>
      </c>
      <c r="B292" t="inlineStr">
        <is>
          <t>avverkningsanmälan</t>
        </is>
      </c>
      <c r="C292" t="inlineStr">
        <is>
          <t>Föryngringsavverkning</t>
        </is>
      </c>
      <c r="D292" s="1" t="n">
        <v>45695</v>
      </c>
      <c r="E292" s="1" t="n">
        <v>46298</v>
      </c>
      <c r="F292" t="inlineStr">
        <is>
          <t>DALARNAS LÄN</t>
        </is>
      </c>
      <c r="G292" t="inlineStr">
        <is>
          <t>GAGNEF</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47669-2025</t>
        </is>
      </c>
      <c r="B293" t="inlineStr">
        <is>
          <t>avverkningsanmälan</t>
        </is>
      </c>
      <c r="C293" t="inlineStr">
        <is>
          <t>Föryngringsavverkning</t>
        </is>
      </c>
      <c r="D293" s="1" t="n">
        <v>45931</v>
      </c>
      <c r="E293" s="1" t="n">
        <v>46298</v>
      </c>
      <c r="F293" t="inlineStr">
        <is>
          <t>DALARNAS LÄN</t>
        </is>
      </c>
      <c r="G293" t="inlineStr">
        <is>
          <t>GAGNEF</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36005-2023</t>
        </is>
      </c>
      <c r="B294" t="inlineStr">
        <is>
          <t>avverkningsanmälan</t>
        </is>
      </c>
      <c r="C294" t="inlineStr">
        <is>
          <t>Föryngringsavverkning</t>
        </is>
      </c>
      <c r="D294" s="1" t="n">
        <v>45148</v>
      </c>
      <c r="E294" s="1" t="n">
        <v>46298</v>
      </c>
      <c r="F294" t="inlineStr">
        <is>
          <t>DALARNAS LÄN</t>
        </is>
      </c>
      <c r="G294" t="inlineStr">
        <is>
          <t>GAGNEF</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41368-2023</t>
        </is>
      </c>
      <c r="B295" t="inlineStr">
        <is>
          <t>avverkningsanmälan</t>
        </is>
      </c>
      <c r="C295" t="inlineStr">
        <is>
          <t>Avverkning för annat ändamål</t>
        </is>
      </c>
      <c r="D295" s="1" t="n">
        <v>45174</v>
      </c>
      <c r="E295" s="1" t="n">
        <v>46298</v>
      </c>
      <c r="F295" t="inlineStr">
        <is>
          <t>DALARNAS LÄN</t>
        </is>
      </c>
      <c r="G295" t="inlineStr">
        <is>
          <t>GAGNEF</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23654-2023</t>
        </is>
      </c>
      <c r="B296" t="inlineStr">
        <is>
          <t>avverkningsanmälan</t>
        </is>
      </c>
      <c r="C296" t="inlineStr">
        <is>
          <t>Föryngringsavverkning</t>
        </is>
      </c>
      <c r="D296" s="1" t="n">
        <v>45077</v>
      </c>
      <c r="E296" s="1" t="n">
        <v>46298</v>
      </c>
      <c r="F296" t="inlineStr">
        <is>
          <t>DALARNAS LÄN</t>
        </is>
      </c>
      <c r="G296" t="inlineStr">
        <is>
          <t>GAGNEF</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28559-2024</t>
        </is>
      </c>
      <c r="B297" t="inlineStr">
        <is>
          <t>avverkningsanmälan</t>
        </is>
      </c>
      <c r="C297" t="inlineStr">
        <is>
          <t>Föryngringsavverkning</t>
        </is>
      </c>
      <c r="D297" s="1" t="n">
        <v>45478</v>
      </c>
      <c r="E297" s="1" t="n">
        <v>46298</v>
      </c>
      <c r="F297" t="inlineStr">
        <is>
          <t>DALARNAS LÄN</t>
        </is>
      </c>
      <c r="G297" t="inlineStr">
        <is>
          <t>GAGNEF</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19197-2023</t>
        </is>
      </c>
      <c r="B298" t="inlineStr">
        <is>
          <t>avverkningsanmälan</t>
        </is>
      </c>
      <c r="C298" t="inlineStr">
        <is>
          <t>Föryngringsavverkning</t>
        </is>
      </c>
      <c r="D298" s="1" t="n">
        <v>45048</v>
      </c>
      <c r="E298" s="1" t="n">
        <v>46298</v>
      </c>
      <c r="F298" t="inlineStr">
        <is>
          <t>DALARNAS LÄN</t>
        </is>
      </c>
      <c r="G298" t="inlineStr">
        <is>
          <t>GAGNEF</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15684-2024</t>
        </is>
      </c>
      <c r="B299" t="inlineStr">
        <is>
          <t>avverkningsanmälan</t>
        </is>
      </c>
      <c r="C299" t="inlineStr">
        <is>
          <t>Föryngringsavverkning</t>
        </is>
      </c>
      <c r="D299" s="1" t="n">
        <v>45404</v>
      </c>
      <c r="E299" s="1" t="n">
        <v>46298</v>
      </c>
      <c r="F299" t="inlineStr">
        <is>
          <t>DALARNAS LÄN</t>
        </is>
      </c>
      <c r="G299" t="inlineStr">
        <is>
          <t>GAGNEF</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43915-2024</t>
        </is>
      </c>
      <c r="B300" t="inlineStr">
        <is>
          <t>avverkningsanmälan</t>
        </is>
      </c>
      <c r="C300" t="inlineStr">
        <is>
          <t>Föryngringsavverkning</t>
        </is>
      </c>
      <c r="D300" s="1" t="n">
        <v>45572</v>
      </c>
      <c r="E300" s="1" t="n">
        <v>46298</v>
      </c>
      <c r="F300" t="inlineStr">
        <is>
          <t>DALARNAS LÄN</t>
        </is>
      </c>
      <c r="G300" t="inlineStr">
        <is>
          <t>GAGNEF</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43911-2024</t>
        </is>
      </c>
      <c r="B301" t="inlineStr">
        <is>
          <t>avverkningsanmälan</t>
        </is>
      </c>
      <c r="C301" t="inlineStr">
        <is>
          <t>Föryngringsavverkning</t>
        </is>
      </c>
      <c r="D301" s="1" t="n">
        <v>45572</v>
      </c>
      <c r="E301" s="1" t="n">
        <v>46298</v>
      </c>
      <c r="F301" t="inlineStr">
        <is>
          <t>DALARNAS LÄN</t>
        </is>
      </c>
      <c r="G301" t="inlineStr">
        <is>
          <t>GAGNEF</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43913-2024</t>
        </is>
      </c>
      <c r="B302" t="inlineStr">
        <is>
          <t>avverkningsanmälan</t>
        </is>
      </c>
      <c r="C302" t="inlineStr">
        <is>
          <t>Föryngringsavverkning</t>
        </is>
      </c>
      <c r="D302" s="1" t="n">
        <v>45572</v>
      </c>
      <c r="E302" s="1" t="n">
        <v>46298</v>
      </c>
      <c r="F302" t="inlineStr">
        <is>
          <t>DALARNAS LÄN</t>
        </is>
      </c>
      <c r="G302" t="inlineStr">
        <is>
          <t>GAGNEF</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19344-2025</t>
        </is>
      </c>
      <c r="B303" t="inlineStr">
        <is>
          <t>avverkningsanmälan</t>
        </is>
      </c>
      <c r="C303" t="inlineStr">
        <is>
          <t>Föryngringsavverkning</t>
        </is>
      </c>
      <c r="D303" s="1" t="n">
        <v>45769</v>
      </c>
      <c r="E303" s="1" t="n">
        <v>46298</v>
      </c>
      <c r="F303" t="inlineStr">
        <is>
          <t>DALARNAS LÄN</t>
        </is>
      </c>
      <c r="G303" t="inlineStr">
        <is>
          <t>GAGNEF</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8867-2025</t>
        </is>
      </c>
      <c r="B304" t="inlineStr">
        <is>
          <t>avverkningsanmälan</t>
        </is>
      </c>
      <c r="C304" t="inlineStr">
        <is>
          <t>Föryngringsavverkning</t>
        </is>
      </c>
      <c r="D304" s="1" t="n">
        <v>45713</v>
      </c>
      <c r="E304" s="1" t="n">
        <v>46298</v>
      </c>
      <c r="F304" t="inlineStr">
        <is>
          <t>DALARNAS LÄN</t>
        </is>
      </c>
      <c r="G304" t="inlineStr">
        <is>
          <t>GAGNEF</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42704-2024</t>
        </is>
      </c>
      <c r="B305" t="inlineStr">
        <is>
          <t>avverkningsanmälan</t>
        </is>
      </c>
      <c r="C305" t="inlineStr">
        <is>
          <t>Föryngringsavverkning</t>
        </is>
      </c>
      <c r="D305" s="1" t="n">
        <v>45566</v>
      </c>
      <c r="E305" s="1" t="n">
        <v>46298</v>
      </c>
      <c r="F305" t="inlineStr">
        <is>
          <t>DALARNAS LÄN</t>
        </is>
      </c>
      <c r="G305" t="inlineStr">
        <is>
          <t>GAGNEF</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42713-2024</t>
        </is>
      </c>
      <c r="B306" t="inlineStr">
        <is>
          <t>avverkningsanmälan</t>
        </is>
      </c>
      <c r="C306" t="inlineStr">
        <is>
          <t>Föryngringsavverkning</t>
        </is>
      </c>
      <c r="D306" s="1" t="n">
        <v>45566</v>
      </c>
      <c r="E306" s="1" t="n">
        <v>46298</v>
      </c>
      <c r="F306" t="inlineStr">
        <is>
          <t>DALARNAS LÄN</t>
        </is>
      </c>
      <c r="G306" t="inlineStr">
        <is>
          <t>GAGNEF</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20771-2025</t>
        </is>
      </c>
      <c r="B307" t="inlineStr">
        <is>
          <t>avverkningsanmälan</t>
        </is>
      </c>
      <c r="C307" t="inlineStr">
        <is>
          <t>Föryngringsavverkning</t>
        </is>
      </c>
      <c r="D307" s="1" t="n">
        <v>45776</v>
      </c>
      <c r="E307" s="1" t="n">
        <v>46298</v>
      </c>
      <c r="F307" t="inlineStr">
        <is>
          <t>DALARNAS LÄN</t>
        </is>
      </c>
      <c r="G307" t="inlineStr">
        <is>
          <t>GAGNEF</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24862-2024</t>
        </is>
      </c>
      <c r="B308" t="inlineStr">
        <is>
          <t>avverkningsanmälan</t>
        </is>
      </c>
      <c r="C308" t="inlineStr">
        <is>
          <t>Föryngringsavverkning</t>
        </is>
      </c>
      <c r="D308" s="1" t="n">
        <v>45461</v>
      </c>
      <c r="E308" s="1" t="n">
        <v>46298</v>
      </c>
      <c r="F308" t="inlineStr">
        <is>
          <t>DALARNAS LÄN</t>
        </is>
      </c>
      <c r="G308" t="inlineStr">
        <is>
          <t>GAGNEF</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27814-2024</t>
        </is>
      </c>
      <c r="B309" t="inlineStr">
        <is>
          <t>avverkningsanmälan</t>
        </is>
      </c>
      <c r="C309" t="inlineStr">
        <is>
          <t>Föryngringsavverkning</t>
        </is>
      </c>
      <c r="D309" s="1" t="n">
        <v>45475</v>
      </c>
      <c r="E309" s="1" t="n">
        <v>46298</v>
      </c>
      <c r="F309" t="inlineStr">
        <is>
          <t>DALARNAS LÄN</t>
        </is>
      </c>
      <c r="G309" t="inlineStr">
        <is>
          <t>GAGNEF</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8491-2025</t>
        </is>
      </c>
      <c r="B310" t="inlineStr">
        <is>
          <t>avverkningsanmälan</t>
        </is>
      </c>
      <c r="C310" t="inlineStr">
        <is>
          <t>Föryngringsavverkning</t>
        </is>
      </c>
      <c r="D310" s="1" t="n">
        <v>45709</v>
      </c>
      <c r="E310" s="1" t="n">
        <v>46298</v>
      </c>
      <c r="F310" t="inlineStr">
        <is>
          <t>DALARNAS LÄN</t>
        </is>
      </c>
      <c r="G310" t="inlineStr">
        <is>
          <t>GAGNEF</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30635-2024</t>
        </is>
      </c>
      <c r="B311" t="inlineStr">
        <is>
          <t>avverkningsanmälan</t>
        </is>
      </c>
      <c r="C311" t="inlineStr">
        <is>
          <t>Föryngringsavverkning</t>
        </is>
      </c>
      <c r="D311" s="1" t="n">
        <v>45495</v>
      </c>
      <c r="E311" s="1" t="n">
        <v>46298</v>
      </c>
      <c r="F311" t="inlineStr">
        <is>
          <t>DALARNAS LÄN</t>
        </is>
      </c>
      <c r="G311" t="inlineStr">
        <is>
          <t>GAGNEF</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27668-2023</t>
        </is>
      </c>
      <c r="B312" t="inlineStr">
        <is>
          <t>avverkningsanmälan</t>
        </is>
      </c>
      <c r="C312" t="inlineStr">
        <is>
          <t>Föryngringsavverkning</t>
        </is>
      </c>
      <c r="D312" s="1" t="n">
        <v>45097</v>
      </c>
      <c r="E312" s="1" t="n">
        <v>46298</v>
      </c>
      <c r="F312" t="inlineStr">
        <is>
          <t>DALARNAS LÄN</t>
        </is>
      </c>
      <c r="G312" t="inlineStr">
        <is>
          <t>GAGNEF</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42607-2024</t>
        </is>
      </c>
      <c r="B313" t="inlineStr">
        <is>
          <t>avverkningsanmälan</t>
        </is>
      </c>
      <c r="C313" t="inlineStr">
        <is>
          <t>Föryngringsavverkning</t>
        </is>
      </c>
      <c r="D313" s="1" t="n">
        <v>45565</v>
      </c>
      <c r="E313" s="1" t="n">
        <v>46298</v>
      </c>
      <c r="F313" t="inlineStr">
        <is>
          <t>DALARNAS LÄN</t>
        </is>
      </c>
      <c r="G313" t="inlineStr">
        <is>
          <t>GAGNEF</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954-2021</t>
        </is>
      </c>
      <c r="B314" t="inlineStr">
        <is>
          <t>samrådsanmälan</t>
        </is>
      </c>
      <c r="C314" t="inlineStr">
        <is>
          <t>Åtgärd i nyckelbiotop</t>
        </is>
      </c>
      <c r="D314" s="1" t="n">
        <v>44315</v>
      </c>
      <c r="E314" s="1" t="n">
        <v>46298</v>
      </c>
      <c r="F314" t="inlineStr">
        <is>
          <t>DALARNAS LÄN</t>
        </is>
      </c>
      <c r="G314" t="inlineStr">
        <is>
          <t>GAGNEF</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46298</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46298</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46298</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46298</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46298</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46298</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46298</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46298</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46298</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2026-10-03T02:02:27Z</dcterms:created>
  <dcterms:modified xmlns:dcterms="http://purl.org/dc/terms/" xmlns:xsi="http://www.w3.org/2001/XMLSchema-instance" xsi:type="dcterms:W3CDTF">2026-10-03T02:02:27Z</dcterms:modified>
</cp:coreProperties>
</file>