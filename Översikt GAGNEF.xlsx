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46103</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46103</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51268-2025</t>
        </is>
      </c>
      <c r="B9" s="1" t="n">
        <v>45949.78539351852</v>
      </c>
      <c r="C9" s="1" t="n">
        <v>46103</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14597-2025</t>
        </is>
      </c>
      <c r="B10" s="1" t="n">
        <v>45742</v>
      </c>
      <c r="C10" s="1" t="n">
        <v>46103</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46103</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46103</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46103</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46103</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46103</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46103</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3115-2026</t>
        </is>
      </c>
      <c r="B17" s="1" t="n">
        <v>46041</v>
      </c>
      <c r="C17" s="1" t="n">
        <v>46103</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46103</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35464-2025</t>
        </is>
      </c>
      <c r="B19" s="1" t="n">
        <v>45855</v>
      </c>
      <c r="C19" s="1" t="n">
        <v>46103</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34418-2025</t>
        </is>
      </c>
      <c r="B20" s="1" t="n">
        <v>45846.65744212963</v>
      </c>
      <c r="C20" s="1" t="n">
        <v>46103</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47815-2024</t>
        </is>
      </c>
      <c r="B21" s="1" t="n">
        <v>45588.62069444444</v>
      </c>
      <c r="C21" s="1" t="n">
        <v>46103</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22309-2021</t>
        </is>
      </c>
      <c r="B22" s="1" t="n">
        <v>44326</v>
      </c>
      <c r="C22" s="1" t="n">
        <v>46103</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46103</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61316-2025</t>
        </is>
      </c>
      <c r="B24" s="1" t="n">
        <v>46000.93822916667</v>
      </c>
      <c r="C24" s="1" t="n">
        <v>46103</v>
      </c>
      <c r="D24" t="inlineStr">
        <is>
          <t>DALARNAS LÄN</t>
        </is>
      </c>
      <c r="E24" t="inlineStr">
        <is>
          <t>GAGNEF</t>
        </is>
      </c>
      <c r="G24" t="n">
        <v>1.1</v>
      </c>
      <c r="H24" t="n">
        <v>0</v>
      </c>
      <c r="I24" t="n">
        <v>0</v>
      </c>
      <c r="J24" t="n">
        <v>1</v>
      </c>
      <c r="K24" t="n">
        <v>0</v>
      </c>
      <c r="L24" t="n">
        <v>0</v>
      </c>
      <c r="M24" t="n">
        <v>0</v>
      </c>
      <c r="N24" t="n">
        <v>0</v>
      </c>
      <c r="O24" t="n">
        <v>1</v>
      </c>
      <c r="P24" t="n">
        <v>0</v>
      </c>
      <c r="Q24" t="n">
        <v>1</v>
      </c>
      <c r="R24" s="2" t="inlineStr">
        <is>
          <t>Lunglav</t>
        </is>
      </c>
      <c r="S24">
        <f>HYPERLINK("https://klasma.github.io/Logging_2026/artfynd/A 61316-2025 artfynd.xlsx", "A 61316-2025")</f>
        <v/>
      </c>
      <c r="T24">
        <f>HYPERLINK("https://klasma.github.io/Logging_2026/kartor/A 61316-2025 karta.png", "A 61316-2025")</f>
        <v/>
      </c>
      <c r="V24">
        <f>HYPERLINK("https://klasma.github.io/Logging_2026/klagomål/A 61316-2025 FSC-klagomål.docx", "A 61316-2025")</f>
        <v/>
      </c>
      <c r="W24">
        <f>HYPERLINK("https://klasma.github.io/Logging_2026/klagomålsmail/A 61316-2025 FSC-klagomål mail.docx", "A 61316-2025")</f>
        <v/>
      </c>
      <c r="X24">
        <f>HYPERLINK("https://klasma.github.io/Logging_2026/tillsyn/A 61316-2025 tillsynsbegäran.docx", "A 61316-2025")</f>
        <v/>
      </c>
      <c r="Y24">
        <f>HYPERLINK("https://klasma.github.io/Logging_2026/tillsynsmail/A 61316-2025 tillsynsbegäran mail.docx", "A 61316-2025")</f>
        <v/>
      </c>
    </row>
    <row r="25" ht="15" customHeight="1">
      <c r="A25" t="inlineStr">
        <is>
          <t>A 676-2026</t>
        </is>
      </c>
      <c r="B25" s="1" t="n">
        <v>46029.59697916666</v>
      </c>
      <c r="C25" s="1" t="n">
        <v>46103</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28550-2024</t>
        </is>
      </c>
      <c r="B26" s="1" t="n">
        <v>45478.37068287037</v>
      </c>
      <c r="C26" s="1" t="n">
        <v>46103</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46103</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4389-2026</t>
        </is>
      </c>
      <c r="B28" s="1" t="n">
        <v>46045.57248842593</v>
      </c>
      <c r="C28" s="1" t="n">
        <v>46103</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64510-2021</t>
        </is>
      </c>
      <c r="B29" s="1" t="n">
        <v>44511</v>
      </c>
      <c r="C29" s="1" t="n">
        <v>46103</v>
      </c>
      <c r="D29" t="inlineStr">
        <is>
          <t>DALARNAS LÄN</t>
        </is>
      </c>
      <c r="E29" t="inlineStr">
        <is>
          <t>GAGNEF</t>
        </is>
      </c>
      <c r="G29" t="n">
        <v>2.7</v>
      </c>
      <c r="H29" t="n">
        <v>0</v>
      </c>
      <c r="I29" t="n">
        <v>0</v>
      </c>
      <c r="J29" t="n">
        <v>1</v>
      </c>
      <c r="K29" t="n">
        <v>0</v>
      </c>
      <c r="L29" t="n">
        <v>0</v>
      </c>
      <c r="M29" t="n">
        <v>0</v>
      </c>
      <c r="N29" t="n">
        <v>0</v>
      </c>
      <c r="O29" t="n">
        <v>1</v>
      </c>
      <c r="P29" t="n">
        <v>0</v>
      </c>
      <c r="Q29" t="n">
        <v>1</v>
      </c>
      <c r="R29" s="2" t="inlineStr">
        <is>
          <t>Grönhjon</t>
        </is>
      </c>
      <c r="S29">
        <f>HYPERLINK("https://klasma.github.io/Logging_2026/artfynd/A 64510-2021 artfynd.xlsx", "A 64510-2021")</f>
        <v/>
      </c>
      <c r="T29">
        <f>HYPERLINK("https://klasma.github.io/Logging_2026/kartor/A 64510-2021 karta.png", "A 64510-2021")</f>
        <v/>
      </c>
      <c r="V29">
        <f>HYPERLINK("https://klasma.github.io/Logging_2026/klagomål/A 64510-2021 FSC-klagomål.docx", "A 64510-2021")</f>
        <v/>
      </c>
      <c r="W29">
        <f>HYPERLINK("https://klasma.github.io/Logging_2026/klagomålsmail/A 64510-2021 FSC-klagomål mail.docx", "A 64510-2021")</f>
        <v/>
      </c>
      <c r="X29">
        <f>HYPERLINK("https://klasma.github.io/Logging_2026/tillsyn/A 64510-2021 tillsynsbegäran.docx", "A 64510-2021")</f>
        <v/>
      </c>
      <c r="Y29">
        <f>HYPERLINK("https://klasma.github.io/Logging_2026/tillsynsmail/A 64510-2021 tillsynsbegäran mail.docx", "A 64510-2021")</f>
        <v/>
      </c>
    </row>
    <row r="30" ht="15" customHeight="1">
      <c r="A30" t="inlineStr">
        <is>
          <t>A 36510-2025</t>
        </is>
      </c>
      <c r="B30" s="1" t="n">
        <v>45869</v>
      </c>
      <c r="C30" s="1" t="n">
        <v>46103</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61787-2024</t>
        </is>
      </c>
      <c r="B31" s="1" t="n">
        <v>45649.48122685185</v>
      </c>
      <c r="C31" s="1" t="n">
        <v>46103</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46103</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43914-2024</t>
        </is>
      </c>
      <c r="B33" s="1" t="n">
        <v>45572</v>
      </c>
      <c r="C33" s="1" t="n">
        <v>46103</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43914-2024 artfynd.xlsx", "A 43914-2024")</f>
        <v/>
      </c>
      <c r="T33">
        <f>HYPERLINK("https://klasma.github.io/Logging_2026/kartor/A 43914-2024 karta.png", "A 43914-2024")</f>
        <v/>
      </c>
      <c r="U33">
        <f>HYPERLINK("https://klasma.github.io/Logging_2026/knärot/A 43914-2024 karta knärot.png", "A 43914-2024")</f>
        <v/>
      </c>
      <c r="V33">
        <f>HYPERLINK("https://klasma.github.io/Logging_2026/klagomål/A 43914-2024 FSC-klagomål.docx", "A 43914-2024")</f>
        <v/>
      </c>
      <c r="W33">
        <f>HYPERLINK("https://klasma.github.io/Logging_2026/klagomålsmail/A 43914-2024 FSC-klagomål mail.docx", "A 43914-2024")</f>
        <v/>
      </c>
      <c r="X33">
        <f>HYPERLINK("https://klasma.github.io/Logging_2026/tillsyn/A 43914-2024 tillsynsbegäran.docx", "A 43914-2024")</f>
        <v/>
      </c>
      <c r="Y33">
        <f>HYPERLINK("https://klasma.github.io/Logging_2026/tillsynsmail/A 43914-2024 tillsynsbegäran mail.docx", "A 43914-2024")</f>
        <v/>
      </c>
    </row>
    <row r="34" ht="15" customHeight="1">
      <c r="A34" t="inlineStr">
        <is>
          <t>A 8026-2022</t>
        </is>
      </c>
      <c r="B34" s="1" t="n">
        <v>44609</v>
      </c>
      <c r="C34" s="1" t="n">
        <v>46103</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46103</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46103</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46103</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46103</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46103</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46103</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46103</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46103</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46103</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46103</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46103</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46103</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46103</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46103</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46103</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46103</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46103</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46103</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46103</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46103</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46103</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46103</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46103</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46103</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46103</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46103</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46103</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46103</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46103</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46103</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46103</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46103</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46103</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46103</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46103</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3822-2025</t>
        </is>
      </c>
      <c r="B70" s="1" t="n">
        <v>45681.7166087963</v>
      </c>
      <c r="C70" s="1" t="n">
        <v>46103</v>
      </c>
      <c r="D70" t="inlineStr">
        <is>
          <t>DALARNAS LÄN</t>
        </is>
      </c>
      <c r="E70" t="inlineStr">
        <is>
          <t>GAGNEF</t>
        </is>
      </c>
      <c r="G70" t="n">
        <v>2.2</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46103</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46103</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491-2025</t>
        </is>
      </c>
      <c r="B73" s="1" t="n">
        <v>45664.46144675926</v>
      </c>
      <c r="C73" s="1" t="n">
        <v>46103</v>
      </c>
      <c r="D73" t="inlineStr">
        <is>
          <t>DALARNAS LÄN</t>
        </is>
      </c>
      <c r="E73" t="inlineStr">
        <is>
          <t>GAGNEF</t>
        </is>
      </c>
      <c r="F73" t="inlineStr">
        <is>
          <t>Övriga statliga verk och myndigheter</t>
        </is>
      </c>
      <c r="G73" t="n">
        <v>1.7</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46103</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46103</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46103</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46103</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42607-2024</t>
        </is>
      </c>
      <c r="B78" s="1" t="n">
        <v>45565.76509259259</v>
      </c>
      <c r="C78" s="1" t="n">
        <v>46103</v>
      </c>
      <c r="D78" t="inlineStr">
        <is>
          <t>DALARNAS LÄN</t>
        </is>
      </c>
      <c r="E78" t="inlineStr">
        <is>
          <t>GAGNEF</t>
        </is>
      </c>
      <c r="G78" t="n">
        <v>2.6</v>
      </c>
      <c r="H78" t="n">
        <v>0</v>
      </c>
      <c r="I78" t="n">
        <v>0</v>
      </c>
      <c r="J78" t="n">
        <v>0</v>
      </c>
      <c r="K78" t="n">
        <v>0</v>
      </c>
      <c r="L78" t="n">
        <v>0</v>
      </c>
      <c r="M78" t="n">
        <v>0</v>
      </c>
      <c r="N78" t="n">
        <v>0</v>
      </c>
      <c r="O78" t="n">
        <v>0</v>
      </c>
      <c r="P78" t="n">
        <v>0</v>
      </c>
      <c r="Q78" t="n">
        <v>0</v>
      </c>
      <c r="R78" s="2" t="inlineStr"/>
    </row>
    <row r="79" ht="15" customHeight="1">
      <c r="A79" t="inlineStr">
        <is>
          <t>A 22856-2025</t>
        </is>
      </c>
      <c r="B79" s="1" t="n">
        <v>45789</v>
      </c>
      <c r="C79" s="1" t="n">
        <v>46103</v>
      </c>
      <c r="D79" t="inlineStr">
        <is>
          <t>DALARNAS LÄN</t>
        </is>
      </c>
      <c r="E79" t="inlineStr">
        <is>
          <t>GAGNEF</t>
        </is>
      </c>
      <c r="G79" t="n">
        <v>2.9</v>
      </c>
      <c r="H79" t="n">
        <v>0</v>
      </c>
      <c r="I79" t="n">
        <v>0</v>
      </c>
      <c r="J79" t="n">
        <v>0</v>
      </c>
      <c r="K79" t="n">
        <v>0</v>
      </c>
      <c r="L79" t="n">
        <v>0</v>
      </c>
      <c r="M79" t="n">
        <v>0</v>
      </c>
      <c r="N79" t="n">
        <v>0</v>
      </c>
      <c r="O79" t="n">
        <v>0</v>
      </c>
      <c r="P79" t="n">
        <v>0</v>
      </c>
      <c r="Q79" t="n">
        <v>0</v>
      </c>
      <c r="R79" s="2" t="inlineStr"/>
    </row>
    <row r="80" ht="15" customHeight="1">
      <c r="A80" t="inlineStr">
        <is>
          <t>A 55838-2025</t>
        </is>
      </c>
      <c r="B80" s="1" t="n">
        <v>45972.89208333333</v>
      </c>
      <c r="C80" s="1" t="n">
        <v>46103</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46103</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55801-2025</t>
        </is>
      </c>
      <c r="B82" s="1" t="n">
        <v>45972.67065972222</v>
      </c>
      <c r="C82" s="1" t="n">
        <v>46103</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46103</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56461-2025</t>
        </is>
      </c>
      <c r="B84" s="1" t="n">
        <v>45975.36987268519</v>
      </c>
      <c r="C84" s="1" t="n">
        <v>46103</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39112-2025</t>
        </is>
      </c>
      <c r="B85" s="1" t="n">
        <v>45887</v>
      </c>
      <c r="C85" s="1" t="n">
        <v>46103</v>
      </c>
      <c r="D85" t="inlineStr">
        <is>
          <t>DALARNAS LÄN</t>
        </is>
      </c>
      <c r="E85" t="inlineStr">
        <is>
          <t>GAGNEF</t>
        </is>
      </c>
      <c r="G85" t="n">
        <v>3.1</v>
      </c>
      <c r="H85" t="n">
        <v>0</v>
      </c>
      <c r="I85" t="n">
        <v>0</v>
      </c>
      <c r="J85" t="n">
        <v>0</v>
      </c>
      <c r="K85" t="n">
        <v>0</v>
      </c>
      <c r="L85" t="n">
        <v>0</v>
      </c>
      <c r="M85" t="n">
        <v>0</v>
      </c>
      <c r="N85" t="n">
        <v>0</v>
      </c>
      <c r="O85" t="n">
        <v>0</v>
      </c>
      <c r="P85" t="n">
        <v>0</v>
      </c>
      <c r="Q85" t="n">
        <v>0</v>
      </c>
      <c r="R85" s="2" t="inlineStr"/>
    </row>
    <row r="86" ht="15" customHeight="1">
      <c r="A86" t="inlineStr">
        <is>
          <t>A 23488-2024</t>
        </is>
      </c>
      <c r="B86" s="1" t="n">
        <v>45453.67690972222</v>
      </c>
      <c r="C86" s="1" t="n">
        <v>46103</v>
      </c>
      <c r="D86" t="inlineStr">
        <is>
          <t>DALARNAS LÄN</t>
        </is>
      </c>
      <c r="E86" t="inlineStr">
        <is>
          <t>GAGNEF</t>
        </is>
      </c>
      <c r="G86" t="n">
        <v>1.1</v>
      </c>
      <c r="H86" t="n">
        <v>0</v>
      </c>
      <c r="I86" t="n">
        <v>0</v>
      </c>
      <c r="J86" t="n">
        <v>0</v>
      </c>
      <c r="K86" t="n">
        <v>0</v>
      </c>
      <c r="L86" t="n">
        <v>0</v>
      </c>
      <c r="M86" t="n">
        <v>0</v>
      </c>
      <c r="N86" t="n">
        <v>0</v>
      </c>
      <c r="O86" t="n">
        <v>0</v>
      </c>
      <c r="P86" t="n">
        <v>0</v>
      </c>
      <c r="Q86" t="n">
        <v>0</v>
      </c>
      <c r="R86" s="2" t="inlineStr"/>
    </row>
    <row r="87" ht="15" customHeight="1">
      <c r="A87" t="inlineStr">
        <is>
          <t>A 5835-2025</t>
        </is>
      </c>
      <c r="B87" s="1" t="n">
        <v>45694.86667824074</v>
      </c>
      <c r="C87" s="1" t="n">
        <v>46103</v>
      </c>
      <c r="D87" t="inlineStr">
        <is>
          <t>DALARNAS LÄN</t>
        </is>
      </c>
      <c r="E87" t="inlineStr">
        <is>
          <t>GAGNEF</t>
        </is>
      </c>
      <c r="G87" t="n">
        <v>3.4</v>
      </c>
      <c r="H87" t="n">
        <v>0</v>
      </c>
      <c r="I87" t="n">
        <v>0</v>
      </c>
      <c r="J87" t="n">
        <v>0</v>
      </c>
      <c r="K87" t="n">
        <v>0</v>
      </c>
      <c r="L87" t="n">
        <v>0</v>
      </c>
      <c r="M87" t="n">
        <v>0</v>
      </c>
      <c r="N87" t="n">
        <v>0</v>
      </c>
      <c r="O87" t="n">
        <v>0</v>
      </c>
      <c r="P87" t="n">
        <v>0</v>
      </c>
      <c r="Q87" t="n">
        <v>0</v>
      </c>
      <c r="R87" s="2" t="inlineStr"/>
    </row>
    <row r="88" ht="15" customHeight="1">
      <c r="A88" t="inlineStr">
        <is>
          <t>A 4374-2024</t>
        </is>
      </c>
      <c r="B88" s="1" t="n">
        <v>45326.73876157407</v>
      </c>
      <c r="C88" s="1" t="n">
        <v>46103</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61872-2024</t>
        </is>
      </c>
      <c r="B89" s="1" t="n">
        <v>45651.86974537037</v>
      </c>
      <c r="C89" s="1" t="n">
        <v>46103</v>
      </c>
      <c r="D89" t="inlineStr">
        <is>
          <t>DALARNAS LÄN</t>
        </is>
      </c>
      <c r="E89" t="inlineStr">
        <is>
          <t>GAGNEF</t>
        </is>
      </c>
      <c r="G89" t="n">
        <v>6.7</v>
      </c>
      <c r="H89" t="n">
        <v>0</v>
      </c>
      <c r="I89" t="n">
        <v>0</v>
      </c>
      <c r="J89" t="n">
        <v>0</v>
      </c>
      <c r="K89" t="n">
        <v>0</v>
      </c>
      <c r="L89" t="n">
        <v>0</v>
      </c>
      <c r="M89" t="n">
        <v>0</v>
      </c>
      <c r="N89" t="n">
        <v>0</v>
      </c>
      <c r="O89" t="n">
        <v>0</v>
      </c>
      <c r="P89" t="n">
        <v>0</v>
      </c>
      <c r="Q89" t="n">
        <v>0</v>
      </c>
      <c r="R89" s="2" t="inlineStr"/>
    </row>
    <row r="90" ht="15" customHeight="1">
      <c r="A90" t="inlineStr">
        <is>
          <t>A 57135-2025</t>
        </is>
      </c>
      <c r="B90" s="1" t="n">
        <v>45979.47457175926</v>
      </c>
      <c r="C90" s="1" t="n">
        <v>46103</v>
      </c>
      <c r="D90" t="inlineStr">
        <is>
          <t>DALARNAS LÄN</t>
        </is>
      </c>
      <c r="E90" t="inlineStr">
        <is>
          <t>GAGNEF</t>
        </is>
      </c>
      <c r="G90" t="n">
        <v>1.9</v>
      </c>
      <c r="H90" t="n">
        <v>0</v>
      </c>
      <c r="I90" t="n">
        <v>0</v>
      </c>
      <c r="J90" t="n">
        <v>0</v>
      </c>
      <c r="K90" t="n">
        <v>0</v>
      </c>
      <c r="L90" t="n">
        <v>0</v>
      </c>
      <c r="M90" t="n">
        <v>0</v>
      </c>
      <c r="N90" t="n">
        <v>0</v>
      </c>
      <c r="O90" t="n">
        <v>0</v>
      </c>
      <c r="P90" t="n">
        <v>0</v>
      </c>
      <c r="Q90" t="n">
        <v>0</v>
      </c>
      <c r="R90" s="2" t="inlineStr"/>
    </row>
    <row r="91" ht="15" customHeight="1">
      <c r="A91" t="inlineStr">
        <is>
          <t>A 322-2024</t>
        </is>
      </c>
      <c r="B91" s="1" t="n">
        <v>45295</v>
      </c>
      <c r="C91" s="1" t="n">
        <v>46103</v>
      </c>
      <c r="D91" t="inlineStr">
        <is>
          <t>DALARNAS LÄN</t>
        </is>
      </c>
      <c r="E91" t="inlineStr">
        <is>
          <t>GAGNEF</t>
        </is>
      </c>
      <c r="G91" t="n">
        <v>11.1</v>
      </c>
      <c r="H91" t="n">
        <v>0</v>
      </c>
      <c r="I91" t="n">
        <v>0</v>
      </c>
      <c r="J91" t="n">
        <v>0</v>
      </c>
      <c r="K91" t="n">
        <v>0</v>
      </c>
      <c r="L91" t="n">
        <v>0</v>
      </c>
      <c r="M91" t="n">
        <v>0</v>
      </c>
      <c r="N91" t="n">
        <v>0</v>
      </c>
      <c r="O91" t="n">
        <v>0</v>
      </c>
      <c r="P91" t="n">
        <v>0</v>
      </c>
      <c r="Q91" t="n">
        <v>0</v>
      </c>
      <c r="R91" s="2" t="inlineStr"/>
    </row>
    <row r="92" ht="15" customHeight="1">
      <c r="A92" t="inlineStr">
        <is>
          <t>A 15861-2025</t>
        </is>
      </c>
      <c r="B92" s="1" t="n">
        <v>45749.35199074074</v>
      </c>
      <c r="C92" s="1" t="n">
        <v>46103</v>
      </c>
      <c r="D92" t="inlineStr">
        <is>
          <t>DALARNAS LÄN</t>
        </is>
      </c>
      <c r="E92" t="inlineStr">
        <is>
          <t>GAGNEF</t>
        </is>
      </c>
      <c r="G92" t="n">
        <v>1.2</v>
      </c>
      <c r="H92" t="n">
        <v>0</v>
      </c>
      <c r="I92" t="n">
        <v>0</v>
      </c>
      <c r="J92" t="n">
        <v>0</v>
      </c>
      <c r="K92" t="n">
        <v>0</v>
      </c>
      <c r="L92" t="n">
        <v>0</v>
      </c>
      <c r="M92" t="n">
        <v>0</v>
      </c>
      <c r="N92" t="n">
        <v>0</v>
      </c>
      <c r="O92" t="n">
        <v>0</v>
      </c>
      <c r="P92" t="n">
        <v>0</v>
      </c>
      <c r="Q92" t="n">
        <v>0</v>
      </c>
      <c r="R92" s="2" t="inlineStr"/>
    </row>
    <row r="93" ht="15" customHeight="1">
      <c r="A93" t="inlineStr">
        <is>
          <t>A 11680-2022</t>
        </is>
      </c>
      <c r="B93" s="1" t="n">
        <v>44634</v>
      </c>
      <c r="C93" s="1" t="n">
        <v>46103</v>
      </c>
      <c r="D93" t="inlineStr">
        <is>
          <t>DALARNAS LÄN</t>
        </is>
      </c>
      <c r="E93" t="inlineStr">
        <is>
          <t>GAGNEF</t>
        </is>
      </c>
      <c r="G93" t="n">
        <v>7.8</v>
      </c>
      <c r="H93" t="n">
        <v>0</v>
      </c>
      <c r="I93" t="n">
        <v>0</v>
      </c>
      <c r="J93" t="n">
        <v>0</v>
      </c>
      <c r="K93" t="n">
        <v>0</v>
      </c>
      <c r="L93" t="n">
        <v>0</v>
      </c>
      <c r="M93" t="n">
        <v>0</v>
      </c>
      <c r="N93" t="n">
        <v>0</v>
      </c>
      <c r="O93" t="n">
        <v>0</v>
      </c>
      <c r="P93" t="n">
        <v>0</v>
      </c>
      <c r="Q93" t="n">
        <v>0</v>
      </c>
      <c r="R93" s="2" t="inlineStr"/>
    </row>
    <row r="94" ht="15" customHeight="1">
      <c r="A94" t="inlineStr">
        <is>
          <t>A 30957-2023</t>
        </is>
      </c>
      <c r="B94" s="1" t="n">
        <v>45113</v>
      </c>
      <c r="C94" s="1" t="n">
        <v>46103</v>
      </c>
      <c r="D94" t="inlineStr">
        <is>
          <t>DALARNAS LÄN</t>
        </is>
      </c>
      <c r="E94" t="inlineStr">
        <is>
          <t>GAGNEF</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56083-2023</t>
        </is>
      </c>
      <c r="B95" s="1" t="n">
        <v>45240</v>
      </c>
      <c r="C95" s="1" t="n">
        <v>46103</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15685-2024</t>
        </is>
      </c>
      <c r="B96" s="1" t="n">
        <v>45404.44038194444</v>
      </c>
      <c r="C96" s="1" t="n">
        <v>46103</v>
      </c>
      <c r="D96" t="inlineStr">
        <is>
          <t>DALARNAS LÄN</t>
        </is>
      </c>
      <c r="E96" t="inlineStr">
        <is>
          <t>GAGNEF</t>
        </is>
      </c>
      <c r="G96" t="n">
        <v>0.7</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46103</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15629-2022</t>
        </is>
      </c>
      <c r="B98" s="1" t="n">
        <v>44662.77332175926</v>
      </c>
      <c r="C98" s="1" t="n">
        <v>46103</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46103</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23797-2025</t>
        </is>
      </c>
      <c r="B100" s="1" t="n">
        <v>45793.55232638889</v>
      </c>
      <c r="C100" s="1" t="n">
        <v>46103</v>
      </c>
      <c r="D100" t="inlineStr">
        <is>
          <t>DALARNAS LÄN</t>
        </is>
      </c>
      <c r="E100" t="inlineStr">
        <is>
          <t>GAGNEF</t>
        </is>
      </c>
      <c r="F100" t="inlineStr">
        <is>
          <t>Övriga statliga verk och myndigheter</t>
        </is>
      </c>
      <c r="G100" t="n">
        <v>2.8</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45022.65944444444</v>
      </c>
      <c r="C101" s="1" t="n">
        <v>46103</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46103</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8006-2025</t>
        </is>
      </c>
      <c r="B103" s="1" t="n">
        <v>45706</v>
      </c>
      <c r="C103" s="1" t="n">
        <v>46103</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59580-2025</t>
        </is>
      </c>
      <c r="B104" s="1" t="n">
        <v>45992.30768518519</v>
      </c>
      <c r="C104" s="1" t="n">
        <v>46103</v>
      </c>
      <c r="D104" t="inlineStr">
        <is>
          <t>DALARNAS LÄN</t>
        </is>
      </c>
      <c r="E104" t="inlineStr">
        <is>
          <t>GAGNEF</t>
        </is>
      </c>
      <c r="G104" t="n">
        <v>4.5</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46103</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41068-2025</t>
        </is>
      </c>
      <c r="B106" s="1" t="n">
        <v>45898.4143287037</v>
      </c>
      <c r="C106" s="1" t="n">
        <v>46103</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41073-2025</t>
        </is>
      </c>
      <c r="B107" s="1" t="n">
        <v>45898.42114583333</v>
      </c>
      <c r="C107" s="1" t="n">
        <v>46103</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20482-2024</t>
        </is>
      </c>
      <c r="B108" s="1" t="n">
        <v>45435.72424768518</v>
      </c>
      <c r="C108" s="1" t="n">
        <v>46103</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51151-2023</t>
        </is>
      </c>
      <c r="B109" s="1" t="n">
        <v>45219</v>
      </c>
      <c r="C109" s="1" t="n">
        <v>46103</v>
      </c>
      <c r="D109" t="inlineStr">
        <is>
          <t>DALARNAS LÄN</t>
        </is>
      </c>
      <c r="E109" t="inlineStr">
        <is>
          <t>GAGNEF</t>
        </is>
      </c>
      <c r="G109" t="n">
        <v>3.1</v>
      </c>
      <c r="H109" t="n">
        <v>0</v>
      </c>
      <c r="I109" t="n">
        <v>0</v>
      </c>
      <c r="J109" t="n">
        <v>0</v>
      </c>
      <c r="K109" t="n">
        <v>0</v>
      </c>
      <c r="L109" t="n">
        <v>0</v>
      </c>
      <c r="M109" t="n">
        <v>0</v>
      </c>
      <c r="N109" t="n">
        <v>0</v>
      </c>
      <c r="O109" t="n">
        <v>0</v>
      </c>
      <c r="P109" t="n">
        <v>0</v>
      </c>
      <c r="Q109" t="n">
        <v>0</v>
      </c>
      <c r="R109" s="2" t="inlineStr"/>
    </row>
    <row r="110" ht="15" customHeight="1">
      <c r="A110" t="inlineStr">
        <is>
          <t>A 60572-2025</t>
        </is>
      </c>
      <c r="B110" s="1" t="n">
        <v>45995.94155092593</v>
      </c>
      <c r="C110" s="1" t="n">
        <v>46103</v>
      </c>
      <c r="D110" t="inlineStr">
        <is>
          <t>DALARNAS LÄN</t>
        </is>
      </c>
      <c r="E110" t="inlineStr">
        <is>
          <t>GAGNEF</t>
        </is>
      </c>
      <c r="G110" t="n">
        <v>2.3</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46103</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46103</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17321-2024</t>
        </is>
      </c>
      <c r="B113" s="1" t="n">
        <v>45414.53782407408</v>
      </c>
      <c r="C113" s="1" t="n">
        <v>46103</v>
      </c>
      <c r="D113" t="inlineStr">
        <is>
          <t>DALARNAS LÄN</t>
        </is>
      </c>
      <c r="E113" t="inlineStr">
        <is>
          <t>GAGNEF</t>
        </is>
      </c>
      <c r="G113" t="n">
        <v>3.5</v>
      </c>
      <c r="H113" t="n">
        <v>0</v>
      </c>
      <c r="I113" t="n">
        <v>0</v>
      </c>
      <c r="J113" t="n">
        <v>0</v>
      </c>
      <c r="K113" t="n">
        <v>0</v>
      </c>
      <c r="L113" t="n">
        <v>0</v>
      </c>
      <c r="M113" t="n">
        <v>0</v>
      </c>
      <c r="N113" t="n">
        <v>0</v>
      </c>
      <c r="O113" t="n">
        <v>0</v>
      </c>
      <c r="P113" t="n">
        <v>0</v>
      </c>
      <c r="Q113" t="n">
        <v>0</v>
      </c>
      <c r="R113" s="2" t="inlineStr"/>
    </row>
    <row r="114" ht="15" customHeight="1">
      <c r="A114" t="inlineStr">
        <is>
          <t>A 7598-2024</t>
        </is>
      </c>
      <c r="B114" s="1" t="n">
        <v>45348.55574074074</v>
      </c>
      <c r="C114" s="1" t="n">
        <v>46103</v>
      </c>
      <c r="D114" t="inlineStr">
        <is>
          <t>DALARNAS LÄN</t>
        </is>
      </c>
      <c r="E114" t="inlineStr">
        <is>
          <t>GAGNEF</t>
        </is>
      </c>
      <c r="G114" t="n">
        <v>2.2</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46103</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42825-2025</t>
        </is>
      </c>
      <c r="B116" s="1" t="n">
        <v>45908</v>
      </c>
      <c r="C116" s="1" t="n">
        <v>46103</v>
      </c>
      <c r="D116" t="inlineStr">
        <is>
          <t>DALARNAS LÄN</t>
        </is>
      </c>
      <c r="E116" t="inlineStr">
        <is>
          <t>GAGNEF</t>
        </is>
      </c>
      <c r="F116" t="inlineStr">
        <is>
          <t>Bergvik skog väst AB</t>
        </is>
      </c>
      <c r="G116" t="n">
        <v>2.2</v>
      </c>
      <c r="H116" t="n">
        <v>0</v>
      </c>
      <c r="I116" t="n">
        <v>0</v>
      </c>
      <c r="J116" t="n">
        <v>0</v>
      </c>
      <c r="K116" t="n">
        <v>0</v>
      </c>
      <c r="L116" t="n">
        <v>0</v>
      </c>
      <c r="M116" t="n">
        <v>0</v>
      </c>
      <c r="N116" t="n">
        <v>0</v>
      </c>
      <c r="O116" t="n">
        <v>0</v>
      </c>
      <c r="P116" t="n">
        <v>0</v>
      </c>
      <c r="Q116" t="n">
        <v>0</v>
      </c>
      <c r="R116" s="2" t="inlineStr"/>
    </row>
    <row r="117" ht="15" customHeight="1">
      <c r="A117" t="inlineStr">
        <is>
          <t>A 42850-2025</t>
        </is>
      </c>
      <c r="B117" s="1" t="n">
        <v>45908</v>
      </c>
      <c r="C117" s="1" t="n">
        <v>46103</v>
      </c>
      <c r="D117" t="inlineStr">
        <is>
          <t>DALARNAS LÄN</t>
        </is>
      </c>
      <c r="E117" t="inlineStr">
        <is>
          <t>GAGNEF</t>
        </is>
      </c>
      <c r="F117" t="inlineStr">
        <is>
          <t>Bergvik skog väst AB</t>
        </is>
      </c>
      <c r="G117" t="n">
        <v>8</v>
      </c>
      <c r="H117" t="n">
        <v>0</v>
      </c>
      <c r="I117" t="n">
        <v>0</v>
      </c>
      <c r="J117" t="n">
        <v>0</v>
      </c>
      <c r="K117" t="n">
        <v>0</v>
      </c>
      <c r="L117" t="n">
        <v>0</v>
      </c>
      <c r="M117" t="n">
        <v>0</v>
      </c>
      <c r="N117" t="n">
        <v>0</v>
      </c>
      <c r="O117" t="n">
        <v>0</v>
      </c>
      <c r="P117" t="n">
        <v>0</v>
      </c>
      <c r="Q117" t="n">
        <v>0</v>
      </c>
      <c r="R117" s="2" t="inlineStr"/>
    </row>
    <row r="118" ht="15" customHeight="1">
      <c r="A118" t="inlineStr">
        <is>
          <t>A 42683-2025</t>
        </is>
      </c>
      <c r="B118" s="1" t="n">
        <v>45908.35057870371</v>
      </c>
      <c r="C118" s="1" t="n">
        <v>46103</v>
      </c>
      <c r="D118" t="inlineStr">
        <is>
          <t>DALARNAS LÄN</t>
        </is>
      </c>
      <c r="E118" t="inlineStr">
        <is>
          <t>GAGNEF</t>
        </is>
      </c>
      <c r="G118" t="n">
        <v>2.6</v>
      </c>
      <c r="H118" t="n">
        <v>0</v>
      </c>
      <c r="I118" t="n">
        <v>0</v>
      </c>
      <c r="J118" t="n">
        <v>0</v>
      </c>
      <c r="K118" t="n">
        <v>0</v>
      </c>
      <c r="L118" t="n">
        <v>0</v>
      </c>
      <c r="M118" t="n">
        <v>0</v>
      </c>
      <c r="N118" t="n">
        <v>0</v>
      </c>
      <c r="O118" t="n">
        <v>0</v>
      </c>
      <c r="P118" t="n">
        <v>0</v>
      </c>
      <c r="Q118" t="n">
        <v>0</v>
      </c>
      <c r="R118" s="2" t="inlineStr"/>
    </row>
    <row r="119" ht="15" customHeight="1">
      <c r="A119" t="inlineStr">
        <is>
          <t>A 43631-2025</t>
        </is>
      </c>
      <c r="B119" s="1" t="n">
        <v>45911.70527777778</v>
      </c>
      <c r="C119" s="1" t="n">
        <v>46103</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46103</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46103</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43633-2025</t>
        </is>
      </c>
      <c r="B122" s="1" t="n">
        <v>45911.70615740741</v>
      </c>
      <c r="C122" s="1" t="n">
        <v>46103</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50536-2024</t>
        </is>
      </c>
      <c r="B123" s="1" t="n">
        <v>45601.56956018518</v>
      </c>
      <c r="C123" s="1" t="n">
        <v>46103</v>
      </c>
      <c r="D123" t="inlineStr">
        <is>
          <t>DALARNAS LÄN</t>
        </is>
      </c>
      <c r="E123" t="inlineStr">
        <is>
          <t>GAGNEF</t>
        </is>
      </c>
      <c r="G123" t="n">
        <v>2.5</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46103</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17710-2023</t>
        </is>
      </c>
      <c r="B125" s="1" t="n">
        <v>45037.38356481482</v>
      </c>
      <c r="C125" s="1" t="n">
        <v>46103</v>
      </c>
      <c r="D125" t="inlineStr">
        <is>
          <t>DALARNAS LÄN</t>
        </is>
      </c>
      <c r="E125" t="inlineStr">
        <is>
          <t>GAGNEF</t>
        </is>
      </c>
      <c r="G125" t="n">
        <v>10.7</v>
      </c>
      <c r="H125" t="n">
        <v>0</v>
      </c>
      <c r="I125" t="n">
        <v>0</v>
      </c>
      <c r="J125" t="n">
        <v>0</v>
      </c>
      <c r="K125" t="n">
        <v>0</v>
      </c>
      <c r="L125" t="n">
        <v>0</v>
      </c>
      <c r="M125" t="n">
        <v>0</v>
      </c>
      <c r="N125" t="n">
        <v>0</v>
      </c>
      <c r="O125" t="n">
        <v>0</v>
      </c>
      <c r="P125" t="n">
        <v>0</v>
      </c>
      <c r="Q125" t="n">
        <v>0</v>
      </c>
      <c r="R125" s="2" t="inlineStr"/>
    </row>
    <row r="126" ht="15" customHeight="1">
      <c r="A126" t="inlineStr">
        <is>
          <t>A 19346-2025</t>
        </is>
      </c>
      <c r="B126" s="1" t="n">
        <v>45769.60106481481</v>
      </c>
      <c r="C126" s="1" t="n">
        <v>46103</v>
      </c>
      <c r="D126" t="inlineStr">
        <is>
          <t>DALARNAS LÄN</t>
        </is>
      </c>
      <c r="E126" t="inlineStr">
        <is>
          <t>GAGNEF</t>
        </is>
      </c>
      <c r="G126" t="n">
        <v>4.1</v>
      </c>
      <c r="H126" t="n">
        <v>0</v>
      </c>
      <c r="I126" t="n">
        <v>0</v>
      </c>
      <c r="J126" t="n">
        <v>0</v>
      </c>
      <c r="K126" t="n">
        <v>0</v>
      </c>
      <c r="L126" t="n">
        <v>0</v>
      </c>
      <c r="M126" t="n">
        <v>0</v>
      </c>
      <c r="N126" t="n">
        <v>0</v>
      </c>
      <c r="O126" t="n">
        <v>0</v>
      </c>
      <c r="P126" t="n">
        <v>0</v>
      </c>
      <c r="Q126" t="n">
        <v>0</v>
      </c>
      <c r="R126" s="2" t="inlineStr"/>
    </row>
    <row r="127" ht="15" customHeight="1">
      <c r="A127" t="inlineStr">
        <is>
          <t>A 61499-2024</t>
        </is>
      </c>
      <c r="B127" s="1" t="n">
        <v>45646.55732638889</v>
      </c>
      <c r="C127" s="1" t="n">
        <v>46103</v>
      </c>
      <c r="D127" t="inlineStr">
        <is>
          <t>DALARNAS LÄN</t>
        </is>
      </c>
      <c r="E127" t="inlineStr">
        <is>
          <t>GAGNEF</t>
        </is>
      </c>
      <c r="G127" t="n">
        <v>3</v>
      </c>
      <c r="H127" t="n">
        <v>0</v>
      </c>
      <c r="I127" t="n">
        <v>0</v>
      </c>
      <c r="J127" t="n">
        <v>0</v>
      </c>
      <c r="K127" t="n">
        <v>0</v>
      </c>
      <c r="L127" t="n">
        <v>0</v>
      </c>
      <c r="M127" t="n">
        <v>0</v>
      </c>
      <c r="N127" t="n">
        <v>0</v>
      </c>
      <c r="O127" t="n">
        <v>0</v>
      </c>
      <c r="P127" t="n">
        <v>0</v>
      </c>
      <c r="Q127" t="n">
        <v>0</v>
      </c>
      <c r="R127" s="2" t="inlineStr"/>
    </row>
    <row r="128" ht="15" customHeight="1">
      <c r="A128" t="inlineStr">
        <is>
          <t>A 43706-2025</t>
        </is>
      </c>
      <c r="B128" s="1" t="n">
        <v>45912.40556712963</v>
      </c>
      <c r="C128" s="1" t="n">
        <v>46103</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43713-2025</t>
        </is>
      </c>
      <c r="B129" s="1" t="n">
        <v>45912.40796296296</v>
      </c>
      <c r="C129" s="1" t="n">
        <v>46103</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43916-2024</t>
        </is>
      </c>
      <c r="B130" s="1" t="n">
        <v>45572.43674768518</v>
      </c>
      <c r="C130" s="1" t="n">
        <v>46103</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46103</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44380-2025</t>
        </is>
      </c>
      <c r="B132" s="1" t="n">
        <v>45916.48267361111</v>
      </c>
      <c r="C132" s="1" t="n">
        <v>46103</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63084-2025</t>
        </is>
      </c>
      <c r="B133" s="1" t="n">
        <v>46009.6719212963</v>
      </c>
      <c r="C133" s="1" t="n">
        <v>46103</v>
      </c>
      <c r="D133" t="inlineStr">
        <is>
          <t>DALARNAS LÄN</t>
        </is>
      </c>
      <c r="E133" t="inlineStr">
        <is>
          <t>GAGNEF</t>
        </is>
      </c>
      <c r="F133" t="inlineStr">
        <is>
          <t>Kyrkan</t>
        </is>
      </c>
      <c r="G133" t="n">
        <v>3.6</v>
      </c>
      <c r="H133" t="n">
        <v>0</v>
      </c>
      <c r="I133" t="n">
        <v>0</v>
      </c>
      <c r="J133" t="n">
        <v>0</v>
      </c>
      <c r="K133" t="n">
        <v>0</v>
      </c>
      <c r="L133" t="n">
        <v>0</v>
      </c>
      <c r="M133" t="n">
        <v>0</v>
      </c>
      <c r="N133" t="n">
        <v>0</v>
      </c>
      <c r="O133" t="n">
        <v>0</v>
      </c>
      <c r="P133" t="n">
        <v>0</v>
      </c>
      <c r="Q133" t="n">
        <v>0</v>
      </c>
      <c r="R133" s="2" t="inlineStr"/>
    </row>
    <row r="134" ht="15" customHeight="1">
      <c r="A134" t="inlineStr">
        <is>
          <t>A 54181-2025</t>
        </is>
      </c>
      <c r="B134" s="1" t="n">
        <v>45964</v>
      </c>
      <c r="C134" s="1" t="n">
        <v>46103</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54178-2025</t>
        </is>
      </c>
      <c r="B135" s="1" t="n">
        <v>45964</v>
      </c>
      <c r="C135" s="1" t="n">
        <v>46103</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47956-2024</t>
        </is>
      </c>
      <c r="B136" s="1" t="n">
        <v>45589.37105324074</v>
      </c>
      <c r="C136" s="1" t="n">
        <v>46103</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45057-2025</t>
        </is>
      </c>
      <c r="B137" s="1" t="n">
        <v>45919.34008101852</v>
      </c>
      <c r="C137" s="1" t="n">
        <v>46103</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63184-2025</t>
        </is>
      </c>
      <c r="B138" s="1" t="n">
        <v>46010.43115740741</v>
      </c>
      <c r="C138" s="1" t="n">
        <v>46103</v>
      </c>
      <c r="D138" t="inlineStr">
        <is>
          <t>DALARNAS LÄN</t>
        </is>
      </c>
      <c r="E138" t="inlineStr">
        <is>
          <t>GAGNEF</t>
        </is>
      </c>
      <c r="G138" t="n">
        <v>4.3</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46103</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63325-2025</t>
        </is>
      </c>
      <c r="B140" s="1" t="n">
        <v>46010.63777777777</v>
      </c>
      <c r="C140" s="1" t="n">
        <v>46103</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45497-2025</t>
        </is>
      </c>
      <c r="B141" s="1" t="n">
        <v>45922.56707175926</v>
      </c>
      <c r="C141" s="1" t="n">
        <v>46103</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4375-2024</t>
        </is>
      </c>
      <c r="B142" s="1" t="n">
        <v>45326.74480324074</v>
      </c>
      <c r="C142" s="1" t="n">
        <v>46103</v>
      </c>
      <c r="D142" t="inlineStr">
        <is>
          <t>DALARNAS LÄN</t>
        </is>
      </c>
      <c r="E142" t="inlineStr">
        <is>
          <t>GAGNEF</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6072-2026</t>
        </is>
      </c>
      <c r="B143" s="1" t="n">
        <v>46052.66299768518</v>
      </c>
      <c r="C143" s="1" t="n">
        <v>46103</v>
      </c>
      <c r="D143" t="inlineStr">
        <is>
          <t>DALARNAS LÄN</t>
        </is>
      </c>
      <c r="E143" t="inlineStr">
        <is>
          <t>GAGNEF</t>
        </is>
      </c>
      <c r="G143" t="n">
        <v>7.4</v>
      </c>
      <c r="H143" t="n">
        <v>0</v>
      </c>
      <c r="I143" t="n">
        <v>0</v>
      </c>
      <c r="J143" t="n">
        <v>0</v>
      </c>
      <c r="K143" t="n">
        <v>0</v>
      </c>
      <c r="L143" t="n">
        <v>0</v>
      </c>
      <c r="M143" t="n">
        <v>0</v>
      </c>
      <c r="N143" t="n">
        <v>0</v>
      </c>
      <c r="O143" t="n">
        <v>0</v>
      </c>
      <c r="P143" t="n">
        <v>0</v>
      </c>
      <c r="Q143" t="n">
        <v>0</v>
      </c>
      <c r="R143" s="2" t="inlineStr"/>
    </row>
    <row r="144" ht="15" customHeight="1">
      <c r="A144" t="inlineStr">
        <is>
          <t>A 63707-2025</t>
        </is>
      </c>
      <c r="B144" s="1" t="n">
        <v>46014.61262731482</v>
      </c>
      <c r="C144" s="1" t="n">
        <v>46103</v>
      </c>
      <c r="D144" t="inlineStr">
        <is>
          <t>DALARNAS LÄN</t>
        </is>
      </c>
      <c r="E144" t="inlineStr">
        <is>
          <t>GAGNEF</t>
        </is>
      </c>
      <c r="G144" t="n">
        <v>6.4</v>
      </c>
      <c r="H144" t="n">
        <v>0</v>
      </c>
      <c r="I144" t="n">
        <v>0</v>
      </c>
      <c r="J144" t="n">
        <v>0</v>
      </c>
      <c r="K144" t="n">
        <v>0</v>
      </c>
      <c r="L144" t="n">
        <v>0</v>
      </c>
      <c r="M144" t="n">
        <v>0</v>
      </c>
      <c r="N144" t="n">
        <v>0</v>
      </c>
      <c r="O144" t="n">
        <v>0</v>
      </c>
      <c r="P144" t="n">
        <v>0</v>
      </c>
      <c r="Q144" t="n">
        <v>0</v>
      </c>
      <c r="R144" s="2" t="inlineStr"/>
    </row>
    <row r="145" ht="15" customHeight="1">
      <c r="A145" t="inlineStr">
        <is>
          <t>A 45688-2025</t>
        </is>
      </c>
      <c r="B145" s="1" t="n">
        <v>45923.38214120371</v>
      </c>
      <c r="C145" s="1" t="n">
        <v>46103</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45989-2025</t>
        </is>
      </c>
      <c r="B146" s="1" t="n">
        <v>45924.38699074074</v>
      </c>
      <c r="C146" s="1" t="n">
        <v>46103</v>
      </c>
      <c r="D146" t="inlineStr">
        <is>
          <t>DALARNAS LÄN</t>
        </is>
      </c>
      <c r="E146" t="inlineStr">
        <is>
          <t>GAGNEF</t>
        </is>
      </c>
      <c r="G146" t="n">
        <v>2.9</v>
      </c>
      <c r="H146" t="n">
        <v>0</v>
      </c>
      <c r="I146" t="n">
        <v>0</v>
      </c>
      <c r="J146" t="n">
        <v>0</v>
      </c>
      <c r="K146" t="n">
        <v>0</v>
      </c>
      <c r="L146" t="n">
        <v>0</v>
      </c>
      <c r="M146" t="n">
        <v>0</v>
      </c>
      <c r="N146" t="n">
        <v>0</v>
      </c>
      <c r="O146" t="n">
        <v>0</v>
      </c>
      <c r="P146" t="n">
        <v>0</v>
      </c>
      <c r="Q146" t="n">
        <v>0</v>
      </c>
      <c r="R146" s="2" t="inlineStr"/>
    </row>
    <row r="147" ht="15" customHeight="1">
      <c r="A147" t="inlineStr">
        <is>
          <t>A 63796-2025</t>
        </is>
      </c>
      <c r="B147" s="1" t="n">
        <v>46019.81944444445</v>
      </c>
      <c r="C147" s="1" t="n">
        <v>46103</v>
      </c>
      <c r="D147" t="inlineStr">
        <is>
          <t>DALARNAS LÄN</t>
        </is>
      </c>
      <c r="E147" t="inlineStr">
        <is>
          <t>GAGNEF</t>
        </is>
      </c>
      <c r="G147" t="n">
        <v>12.8</v>
      </c>
      <c r="H147" t="n">
        <v>0</v>
      </c>
      <c r="I147" t="n">
        <v>0</v>
      </c>
      <c r="J147" t="n">
        <v>0</v>
      </c>
      <c r="K147" t="n">
        <v>0</v>
      </c>
      <c r="L147" t="n">
        <v>0</v>
      </c>
      <c r="M147" t="n">
        <v>0</v>
      </c>
      <c r="N147" t="n">
        <v>0</v>
      </c>
      <c r="O147" t="n">
        <v>0</v>
      </c>
      <c r="P147" t="n">
        <v>0</v>
      </c>
      <c r="Q147" t="n">
        <v>0</v>
      </c>
      <c r="R147" s="2" t="inlineStr"/>
    </row>
    <row r="148" ht="15" customHeight="1">
      <c r="A148" t="inlineStr">
        <is>
          <t>A 16388-2022</t>
        </is>
      </c>
      <c r="B148" s="1" t="n">
        <v>44671</v>
      </c>
      <c r="C148" s="1" t="n">
        <v>46103</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16118-2023</t>
        </is>
      </c>
      <c r="B149" s="1" t="n">
        <v>45027</v>
      </c>
      <c r="C149" s="1" t="n">
        <v>46103</v>
      </c>
      <c r="D149" t="inlineStr">
        <is>
          <t>DALARNAS LÄN</t>
        </is>
      </c>
      <c r="E149" t="inlineStr">
        <is>
          <t>GAGNEF</t>
        </is>
      </c>
      <c r="G149" t="n">
        <v>2.3</v>
      </c>
      <c r="H149" t="n">
        <v>0</v>
      </c>
      <c r="I149" t="n">
        <v>0</v>
      </c>
      <c r="J149" t="n">
        <v>0</v>
      </c>
      <c r="K149" t="n">
        <v>0</v>
      </c>
      <c r="L149" t="n">
        <v>0</v>
      </c>
      <c r="M149" t="n">
        <v>0</v>
      </c>
      <c r="N149" t="n">
        <v>0</v>
      </c>
      <c r="O149" t="n">
        <v>0</v>
      </c>
      <c r="P149" t="n">
        <v>0</v>
      </c>
      <c r="Q149" t="n">
        <v>0</v>
      </c>
      <c r="R149" s="2" t="inlineStr"/>
    </row>
    <row r="150" ht="15" customHeight="1">
      <c r="A150" t="inlineStr">
        <is>
          <t>A 3816-2025</t>
        </is>
      </c>
      <c r="B150" s="1" t="n">
        <v>45681.69211805556</v>
      </c>
      <c r="C150" s="1" t="n">
        <v>46103</v>
      </c>
      <c r="D150" t="inlineStr">
        <is>
          <t>DALARNAS LÄN</t>
        </is>
      </c>
      <c r="E150" t="inlineStr">
        <is>
          <t>GAGNEF</t>
        </is>
      </c>
      <c r="G150" t="n">
        <v>6.1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46103</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117-2026</t>
        </is>
      </c>
      <c r="B152" s="1" t="n">
        <v>46024.5670949074</v>
      </c>
      <c r="C152" s="1" t="n">
        <v>46103</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120-2026</t>
        </is>
      </c>
      <c r="B153" s="1" t="n">
        <v>46024.57240740741</v>
      </c>
      <c r="C153" s="1" t="n">
        <v>46103</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47560-2025</t>
        </is>
      </c>
      <c r="B154" s="1" t="n">
        <v>45931.38627314815</v>
      </c>
      <c r="C154" s="1" t="n">
        <v>46103</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46103</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8970-2026</t>
        </is>
      </c>
      <c r="B156" s="1" t="n">
        <v>46069.43399305556</v>
      </c>
      <c r="C156" s="1" t="n">
        <v>46103</v>
      </c>
      <c r="D156" t="inlineStr">
        <is>
          <t>DALARNAS LÄN</t>
        </is>
      </c>
      <c r="E156" t="inlineStr">
        <is>
          <t>GAGNEF</t>
        </is>
      </c>
      <c r="G156" t="n">
        <v>2.6</v>
      </c>
      <c r="H156" t="n">
        <v>0</v>
      </c>
      <c r="I156" t="n">
        <v>0</v>
      </c>
      <c r="J156" t="n">
        <v>0</v>
      </c>
      <c r="K156" t="n">
        <v>0</v>
      </c>
      <c r="L156" t="n">
        <v>0</v>
      </c>
      <c r="M156" t="n">
        <v>0</v>
      </c>
      <c r="N156" t="n">
        <v>0</v>
      </c>
      <c r="O156" t="n">
        <v>0</v>
      </c>
      <c r="P156" t="n">
        <v>0</v>
      </c>
      <c r="Q156" t="n">
        <v>0</v>
      </c>
      <c r="R156" s="2" t="inlineStr"/>
    </row>
    <row r="157" ht="15" customHeight="1">
      <c r="A157" t="inlineStr">
        <is>
          <t>A 115-2026</t>
        </is>
      </c>
      <c r="B157" s="1" t="n">
        <v>46024.56222222222</v>
      </c>
      <c r="C157" s="1" t="n">
        <v>46103</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126-2026</t>
        </is>
      </c>
      <c r="B158" s="1" t="n">
        <v>46024.59197916667</v>
      </c>
      <c r="C158" s="1" t="n">
        <v>46103</v>
      </c>
      <c r="D158" t="inlineStr">
        <is>
          <t>DALARNAS LÄN</t>
        </is>
      </c>
      <c r="E158" t="inlineStr">
        <is>
          <t>GAGNEF</t>
        </is>
      </c>
      <c r="G158" t="n">
        <v>0.8</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46103</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245-2026</t>
        </is>
      </c>
      <c r="B160" s="1" t="n">
        <v>46027</v>
      </c>
      <c r="C160" s="1" t="n">
        <v>46103</v>
      </c>
      <c r="D160" t="inlineStr">
        <is>
          <t>DALARNAS LÄN</t>
        </is>
      </c>
      <c r="E160" t="inlineStr">
        <is>
          <t>GAGNEF</t>
        </is>
      </c>
      <c r="G160" t="n">
        <v>6.4</v>
      </c>
      <c r="H160" t="n">
        <v>0</v>
      </c>
      <c r="I160" t="n">
        <v>0</v>
      </c>
      <c r="J160" t="n">
        <v>0</v>
      </c>
      <c r="K160" t="n">
        <v>0</v>
      </c>
      <c r="L160" t="n">
        <v>0</v>
      </c>
      <c r="M160" t="n">
        <v>0</v>
      </c>
      <c r="N160" t="n">
        <v>0</v>
      </c>
      <c r="O160" t="n">
        <v>0</v>
      </c>
      <c r="P160" t="n">
        <v>0</v>
      </c>
      <c r="Q160" t="n">
        <v>0</v>
      </c>
      <c r="R160" s="2" t="inlineStr"/>
    </row>
    <row r="161" ht="15" customHeight="1">
      <c r="A161" t="inlineStr">
        <is>
          <t>A 47669-2025</t>
        </is>
      </c>
      <c r="B161" s="1" t="n">
        <v>45931.57208333333</v>
      </c>
      <c r="C161" s="1" t="n">
        <v>46103</v>
      </c>
      <c r="D161" t="inlineStr">
        <is>
          <t>DALARNAS LÄN</t>
        </is>
      </c>
      <c r="E161" t="inlineStr">
        <is>
          <t>GAGNEF</t>
        </is>
      </c>
      <c r="G161" t="n">
        <v>1.1</v>
      </c>
      <c r="H161" t="n">
        <v>0</v>
      </c>
      <c r="I161" t="n">
        <v>0</v>
      </c>
      <c r="J161" t="n">
        <v>0</v>
      </c>
      <c r="K161" t="n">
        <v>0</v>
      </c>
      <c r="L161" t="n">
        <v>0</v>
      </c>
      <c r="M161" t="n">
        <v>0</v>
      </c>
      <c r="N161" t="n">
        <v>0</v>
      </c>
      <c r="O161" t="n">
        <v>0</v>
      </c>
      <c r="P161" t="n">
        <v>0</v>
      </c>
      <c r="Q161" t="n">
        <v>0</v>
      </c>
      <c r="R161" s="2" t="inlineStr"/>
    </row>
    <row r="162" ht="15" customHeight="1">
      <c r="A162" t="inlineStr">
        <is>
          <t>A 47470-2025</t>
        </is>
      </c>
      <c r="B162" s="1" t="n">
        <v>45930.67282407408</v>
      </c>
      <c r="C162" s="1" t="n">
        <v>46103</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55-2026</t>
        </is>
      </c>
      <c r="B163" s="1" t="n">
        <v>46024.4365625</v>
      </c>
      <c r="C163" s="1" t="n">
        <v>46103</v>
      </c>
      <c r="D163" t="inlineStr">
        <is>
          <t>DALARNAS LÄN</t>
        </is>
      </c>
      <c r="E163" t="inlineStr">
        <is>
          <t>GAGNEF</t>
        </is>
      </c>
      <c r="G163" t="n">
        <v>6.5</v>
      </c>
      <c r="H163" t="n">
        <v>0</v>
      </c>
      <c r="I163" t="n">
        <v>0</v>
      </c>
      <c r="J163" t="n">
        <v>0</v>
      </c>
      <c r="K163" t="n">
        <v>0</v>
      </c>
      <c r="L163" t="n">
        <v>0</v>
      </c>
      <c r="M163" t="n">
        <v>0</v>
      </c>
      <c r="N163" t="n">
        <v>0</v>
      </c>
      <c r="O163" t="n">
        <v>0</v>
      </c>
      <c r="P163" t="n">
        <v>0</v>
      </c>
      <c r="Q163" t="n">
        <v>0</v>
      </c>
      <c r="R163" s="2" t="inlineStr"/>
    </row>
    <row r="164" ht="15" customHeight="1">
      <c r="A164" t="inlineStr">
        <is>
          <t>A 134-2026</t>
        </is>
      </c>
      <c r="B164" s="1" t="n">
        <v>46024.60538194444</v>
      </c>
      <c r="C164" s="1" t="n">
        <v>46103</v>
      </c>
      <c r="D164" t="inlineStr">
        <is>
          <t>DALARNAS LÄN</t>
        </is>
      </c>
      <c r="E164" t="inlineStr">
        <is>
          <t>GAGNEF</t>
        </is>
      </c>
      <c r="G164" t="n">
        <v>4.7</v>
      </c>
      <c r="H164" t="n">
        <v>0</v>
      </c>
      <c r="I164" t="n">
        <v>0</v>
      </c>
      <c r="J164" t="n">
        <v>0</v>
      </c>
      <c r="K164" t="n">
        <v>0</v>
      </c>
      <c r="L164" t="n">
        <v>0</v>
      </c>
      <c r="M164" t="n">
        <v>0</v>
      </c>
      <c r="N164" t="n">
        <v>0</v>
      </c>
      <c r="O164" t="n">
        <v>0</v>
      </c>
      <c r="P164" t="n">
        <v>0</v>
      </c>
      <c r="Q164" t="n">
        <v>0</v>
      </c>
      <c r="R164" s="2" t="inlineStr"/>
    </row>
    <row r="165" ht="15" customHeight="1">
      <c r="A165" t="inlineStr">
        <is>
          <t>A 131-2026</t>
        </is>
      </c>
      <c r="B165" s="1" t="n">
        <v>46024.60009259259</v>
      </c>
      <c r="C165" s="1" t="n">
        <v>46103</v>
      </c>
      <c r="D165" t="inlineStr">
        <is>
          <t>DALARNAS LÄN</t>
        </is>
      </c>
      <c r="E165" t="inlineStr">
        <is>
          <t>GAGNEF</t>
        </is>
      </c>
      <c r="G165" t="n">
        <v>0.4</v>
      </c>
      <c r="H165" t="n">
        <v>0</v>
      </c>
      <c r="I165" t="n">
        <v>0</v>
      </c>
      <c r="J165" t="n">
        <v>0</v>
      </c>
      <c r="K165" t="n">
        <v>0</v>
      </c>
      <c r="L165" t="n">
        <v>0</v>
      </c>
      <c r="M165" t="n">
        <v>0</v>
      </c>
      <c r="N165" t="n">
        <v>0</v>
      </c>
      <c r="O165" t="n">
        <v>0</v>
      </c>
      <c r="P165" t="n">
        <v>0</v>
      </c>
      <c r="Q165" t="n">
        <v>0</v>
      </c>
      <c r="R165" s="2" t="inlineStr"/>
    </row>
    <row r="166" ht="15" customHeight="1">
      <c r="A166" t="inlineStr">
        <is>
          <t>A 47285-2025</t>
        </is>
      </c>
      <c r="B166" s="1" t="n">
        <v>45930.48280092593</v>
      </c>
      <c r="C166" s="1" t="n">
        <v>46103</v>
      </c>
      <c r="D166" t="inlineStr">
        <is>
          <t>DALARNAS LÄN</t>
        </is>
      </c>
      <c r="E166" t="inlineStr">
        <is>
          <t>GAGNEF</t>
        </is>
      </c>
      <c r="G166" t="n">
        <v>7.8</v>
      </c>
      <c r="H166" t="n">
        <v>0</v>
      </c>
      <c r="I166" t="n">
        <v>0</v>
      </c>
      <c r="J166" t="n">
        <v>0</v>
      </c>
      <c r="K166" t="n">
        <v>0</v>
      </c>
      <c r="L166" t="n">
        <v>0</v>
      </c>
      <c r="M166" t="n">
        <v>0</v>
      </c>
      <c r="N166" t="n">
        <v>0</v>
      </c>
      <c r="O166" t="n">
        <v>0</v>
      </c>
      <c r="P166" t="n">
        <v>0</v>
      </c>
      <c r="Q166" t="n">
        <v>0</v>
      </c>
      <c r="R166" s="2" t="inlineStr"/>
    </row>
    <row r="167" ht="15" customHeight="1">
      <c r="A167" t="inlineStr">
        <is>
          <t>A 340-2026</t>
        </is>
      </c>
      <c r="B167" s="1" t="n">
        <v>46027</v>
      </c>
      <c r="C167" s="1" t="n">
        <v>46103</v>
      </c>
      <c r="D167" t="inlineStr">
        <is>
          <t>DALARNAS LÄN</t>
        </is>
      </c>
      <c r="E167" t="inlineStr">
        <is>
          <t>GAGNEF</t>
        </is>
      </c>
      <c r="G167" t="n">
        <v>3.3</v>
      </c>
      <c r="H167" t="n">
        <v>0</v>
      </c>
      <c r="I167" t="n">
        <v>0</v>
      </c>
      <c r="J167" t="n">
        <v>0</v>
      </c>
      <c r="K167" t="n">
        <v>0</v>
      </c>
      <c r="L167" t="n">
        <v>0</v>
      </c>
      <c r="M167" t="n">
        <v>0</v>
      </c>
      <c r="N167" t="n">
        <v>0</v>
      </c>
      <c r="O167" t="n">
        <v>0</v>
      </c>
      <c r="P167" t="n">
        <v>0</v>
      </c>
      <c r="Q167" t="n">
        <v>0</v>
      </c>
      <c r="R167" s="2" t="inlineStr"/>
    </row>
    <row r="168" ht="15" customHeight="1">
      <c r="A168" t="inlineStr">
        <is>
          <t>A 301-2026</t>
        </is>
      </c>
      <c r="B168" s="1" t="n">
        <v>46027.52238425926</v>
      </c>
      <c r="C168" s="1" t="n">
        <v>46103</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9203-2026</t>
        </is>
      </c>
      <c r="B169" s="1" t="n">
        <v>46070.4134837963</v>
      </c>
      <c r="C169" s="1" t="n">
        <v>46103</v>
      </c>
      <c r="D169" t="inlineStr">
        <is>
          <t>DALARNAS LÄN</t>
        </is>
      </c>
      <c r="E169" t="inlineStr">
        <is>
          <t>GAGNEF</t>
        </is>
      </c>
      <c r="G169" t="n">
        <v>3.5</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46103</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708-2026</t>
        </is>
      </c>
      <c r="B171" s="1" t="n">
        <v>46029.6206712963</v>
      </c>
      <c r="C171" s="1" t="n">
        <v>46103</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1367-2026</t>
        </is>
      </c>
      <c r="B172" s="1" t="n">
        <v>46031</v>
      </c>
      <c r="C172" s="1" t="n">
        <v>46103</v>
      </c>
      <c r="D172" t="inlineStr">
        <is>
          <t>DALARNAS LÄN</t>
        </is>
      </c>
      <c r="E172" t="inlineStr">
        <is>
          <t>GAGNEF</t>
        </is>
      </c>
      <c r="G172" t="n">
        <v>14.8</v>
      </c>
      <c r="H172" t="n">
        <v>0</v>
      </c>
      <c r="I172" t="n">
        <v>0</v>
      </c>
      <c r="J172" t="n">
        <v>0</v>
      </c>
      <c r="K172" t="n">
        <v>0</v>
      </c>
      <c r="L172" t="n">
        <v>0</v>
      </c>
      <c r="M172" t="n">
        <v>0</v>
      </c>
      <c r="N172" t="n">
        <v>0</v>
      </c>
      <c r="O172" t="n">
        <v>0</v>
      </c>
      <c r="P172" t="n">
        <v>0</v>
      </c>
      <c r="Q172" t="n">
        <v>0</v>
      </c>
      <c r="R172" s="2" t="inlineStr"/>
    </row>
    <row r="173" ht="15" customHeight="1">
      <c r="A173" t="inlineStr">
        <is>
          <t>A 30668-2024</t>
        </is>
      </c>
      <c r="B173" s="1" t="n">
        <v>45495.71056712963</v>
      </c>
      <c r="C173" s="1" t="n">
        <v>46103</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45110-2025</t>
        </is>
      </c>
      <c r="B174" s="1" t="n">
        <v>45919</v>
      </c>
      <c r="C174" s="1" t="n">
        <v>46103</v>
      </c>
      <c r="D174" t="inlineStr">
        <is>
          <t>DALARNAS LÄN</t>
        </is>
      </c>
      <c r="E174" t="inlineStr">
        <is>
          <t>GAGNEF</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1421-2026</t>
        </is>
      </c>
      <c r="B175" s="1" t="n">
        <v>46031</v>
      </c>
      <c r="C175" s="1" t="n">
        <v>46103</v>
      </c>
      <c r="D175" t="inlineStr">
        <is>
          <t>DALARNAS LÄN</t>
        </is>
      </c>
      <c r="E175" t="inlineStr">
        <is>
          <t>GAGNEF</t>
        </is>
      </c>
      <c r="G175" t="n">
        <v>6.6</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46103</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46103</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1276-2026</t>
        </is>
      </c>
      <c r="B178" s="1" t="n">
        <v>46031.47527777778</v>
      </c>
      <c r="C178" s="1" t="n">
        <v>46103</v>
      </c>
      <c r="D178" t="inlineStr">
        <is>
          <t>DALARNAS LÄN</t>
        </is>
      </c>
      <c r="E178" t="inlineStr">
        <is>
          <t>GAGNEF</t>
        </is>
      </c>
      <c r="G178" t="n">
        <v>5.6</v>
      </c>
      <c r="H178" t="n">
        <v>0</v>
      </c>
      <c r="I178" t="n">
        <v>0</v>
      </c>
      <c r="J178" t="n">
        <v>0</v>
      </c>
      <c r="K178" t="n">
        <v>0</v>
      </c>
      <c r="L178" t="n">
        <v>0</v>
      </c>
      <c r="M178" t="n">
        <v>0</v>
      </c>
      <c r="N178" t="n">
        <v>0</v>
      </c>
      <c r="O178" t="n">
        <v>0</v>
      </c>
      <c r="P178" t="n">
        <v>0</v>
      </c>
      <c r="Q178" t="n">
        <v>0</v>
      </c>
      <c r="R178" s="2" t="inlineStr"/>
    </row>
    <row r="179" ht="15" customHeight="1">
      <c r="A179" t="inlineStr">
        <is>
          <t>A 49226-2025</t>
        </is>
      </c>
      <c r="B179" s="1" t="n">
        <v>45938.46777777778</v>
      </c>
      <c r="C179" s="1" t="n">
        <v>46103</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46103</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46103</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1411-2026</t>
        </is>
      </c>
      <c r="B182" s="1" t="n">
        <v>46031.66760416667</v>
      </c>
      <c r="C182" s="1" t="n">
        <v>46103</v>
      </c>
      <c r="D182" t="inlineStr">
        <is>
          <t>DALARNAS LÄN</t>
        </is>
      </c>
      <c r="E182" t="inlineStr">
        <is>
          <t>GAGNEF</t>
        </is>
      </c>
      <c r="G182" t="n">
        <v>3</v>
      </c>
      <c r="H182" t="n">
        <v>0</v>
      </c>
      <c r="I182" t="n">
        <v>0</v>
      </c>
      <c r="J182" t="n">
        <v>0</v>
      </c>
      <c r="K182" t="n">
        <v>0</v>
      </c>
      <c r="L182" t="n">
        <v>0</v>
      </c>
      <c r="M182" t="n">
        <v>0</v>
      </c>
      <c r="N182" t="n">
        <v>0</v>
      </c>
      <c r="O182" t="n">
        <v>0</v>
      </c>
      <c r="P182" t="n">
        <v>0</v>
      </c>
      <c r="Q182" t="n">
        <v>0</v>
      </c>
      <c r="R182" s="2" t="inlineStr"/>
    </row>
    <row r="183" ht="15" customHeight="1">
      <c r="A183" t="inlineStr">
        <is>
          <t>A 1413-2026</t>
        </is>
      </c>
      <c r="B183" s="1" t="n">
        <v>46031.68702546296</v>
      </c>
      <c r="C183" s="1" t="n">
        <v>46103</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1100-2026</t>
        </is>
      </c>
      <c r="B184" s="1" t="n">
        <v>46030.6665625</v>
      </c>
      <c r="C184" s="1" t="n">
        <v>46103</v>
      </c>
      <c r="D184" t="inlineStr">
        <is>
          <t>DALARNAS LÄN</t>
        </is>
      </c>
      <c r="E184" t="inlineStr">
        <is>
          <t>GAGNEF</t>
        </is>
      </c>
      <c r="G184" t="n">
        <v>10.7</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46103</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45961-2025</t>
        </is>
      </c>
      <c r="B186" s="1" t="n">
        <v>45924</v>
      </c>
      <c r="C186" s="1" t="n">
        <v>46103</v>
      </c>
      <c r="D186" t="inlineStr">
        <is>
          <t>DALARNAS LÄN</t>
        </is>
      </c>
      <c r="E186" t="inlineStr">
        <is>
          <t>GAGNEF</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49762-2025</t>
        </is>
      </c>
      <c r="B187" s="1" t="n">
        <v>45940.3487962963</v>
      </c>
      <c r="C187" s="1" t="n">
        <v>46103</v>
      </c>
      <c r="D187" t="inlineStr">
        <is>
          <t>DALARNAS LÄN</t>
        </is>
      </c>
      <c r="E187" t="inlineStr">
        <is>
          <t>GAGNEF</t>
        </is>
      </c>
      <c r="G187" t="n">
        <v>2.5</v>
      </c>
      <c r="H187" t="n">
        <v>0</v>
      </c>
      <c r="I187" t="n">
        <v>0</v>
      </c>
      <c r="J187" t="n">
        <v>0</v>
      </c>
      <c r="K187" t="n">
        <v>0</v>
      </c>
      <c r="L187" t="n">
        <v>0</v>
      </c>
      <c r="M187" t="n">
        <v>0</v>
      </c>
      <c r="N187" t="n">
        <v>0</v>
      </c>
      <c r="O187" t="n">
        <v>0</v>
      </c>
      <c r="P187" t="n">
        <v>0</v>
      </c>
      <c r="Q187" t="n">
        <v>0</v>
      </c>
      <c r="R187" s="2" t="inlineStr"/>
    </row>
    <row r="188" ht="15" customHeight="1">
      <c r="A188" t="inlineStr">
        <is>
          <t>A 64987-2023</t>
        </is>
      </c>
      <c r="B188" s="1" t="n">
        <v>45285</v>
      </c>
      <c r="C188" s="1" t="n">
        <v>46103</v>
      </c>
      <c r="D188" t="inlineStr">
        <is>
          <t>DALARNAS LÄN</t>
        </is>
      </c>
      <c r="E188" t="inlineStr">
        <is>
          <t>GAGNEF</t>
        </is>
      </c>
      <c r="G188" t="n">
        <v>6.2</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46103</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46103</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7340-2024</t>
        </is>
      </c>
      <c r="B191" s="1" t="n">
        <v>45345.44857638889</v>
      </c>
      <c r="C191" s="1" t="n">
        <v>46103</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1432-2026</t>
        </is>
      </c>
      <c r="B192" s="1" t="n">
        <v>46032.41707175926</v>
      </c>
      <c r="C192" s="1" t="n">
        <v>46103</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16858-2025</t>
        </is>
      </c>
      <c r="B193" s="1" t="n">
        <v>45751</v>
      </c>
      <c r="C193" s="1" t="n">
        <v>46103</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3411-2025</t>
        </is>
      </c>
      <c r="B194" s="1" t="n">
        <v>45680.39591435185</v>
      </c>
      <c r="C194" s="1" t="n">
        <v>46103</v>
      </c>
      <c r="D194" t="inlineStr">
        <is>
          <t>DALARNAS LÄN</t>
        </is>
      </c>
      <c r="E194" t="inlineStr">
        <is>
          <t>GAGNEF</t>
        </is>
      </c>
      <c r="G194" t="n">
        <v>5.3</v>
      </c>
      <c r="H194" t="n">
        <v>0</v>
      </c>
      <c r="I194" t="n">
        <v>0</v>
      </c>
      <c r="J194" t="n">
        <v>0</v>
      </c>
      <c r="K194" t="n">
        <v>0</v>
      </c>
      <c r="L194" t="n">
        <v>0</v>
      </c>
      <c r="M194" t="n">
        <v>0</v>
      </c>
      <c r="N194" t="n">
        <v>0</v>
      </c>
      <c r="O194" t="n">
        <v>0</v>
      </c>
      <c r="P194" t="n">
        <v>0</v>
      </c>
      <c r="Q194" t="n">
        <v>0</v>
      </c>
      <c r="R194" s="2" t="inlineStr"/>
    </row>
    <row r="195" ht="15" customHeight="1">
      <c r="A195" t="inlineStr">
        <is>
          <t>A 1430-2026</t>
        </is>
      </c>
      <c r="B195" s="1" t="n">
        <v>46032.39976851852</v>
      </c>
      <c r="C195" s="1" t="n">
        <v>46103</v>
      </c>
      <c r="D195" t="inlineStr">
        <is>
          <t>DALARNAS LÄN</t>
        </is>
      </c>
      <c r="E195" t="inlineStr">
        <is>
          <t>GAGNEF</t>
        </is>
      </c>
      <c r="G195" t="n">
        <v>4.2</v>
      </c>
      <c r="H195" t="n">
        <v>0</v>
      </c>
      <c r="I195" t="n">
        <v>0</v>
      </c>
      <c r="J195" t="n">
        <v>0</v>
      </c>
      <c r="K195" t="n">
        <v>0</v>
      </c>
      <c r="L195" t="n">
        <v>0</v>
      </c>
      <c r="M195" t="n">
        <v>0</v>
      </c>
      <c r="N195" t="n">
        <v>0</v>
      </c>
      <c r="O195" t="n">
        <v>0</v>
      </c>
      <c r="P195" t="n">
        <v>0</v>
      </c>
      <c r="Q195" t="n">
        <v>0</v>
      </c>
      <c r="R195" s="2" t="inlineStr"/>
    </row>
    <row r="196" ht="15" customHeight="1">
      <c r="A196" t="inlineStr">
        <is>
          <t>A 1431-2026</t>
        </is>
      </c>
      <c r="B196" s="1" t="n">
        <v>46032.41365740741</v>
      </c>
      <c r="C196" s="1" t="n">
        <v>46103</v>
      </c>
      <c r="D196" t="inlineStr">
        <is>
          <t>DALARNAS LÄN</t>
        </is>
      </c>
      <c r="E196" t="inlineStr">
        <is>
          <t>GAGNEF</t>
        </is>
      </c>
      <c r="G196" t="n">
        <v>8.4</v>
      </c>
      <c r="H196" t="n">
        <v>0</v>
      </c>
      <c r="I196" t="n">
        <v>0</v>
      </c>
      <c r="J196" t="n">
        <v>0</v>
      </c>
      <c r="K196" t="n">
        <v>0</v>
      </c>
      <c r="L196" t="n">
        <v>0</v>
      </c>
      <c r="M196" t="n">
        <v>0</v>
      </c>
      <c r="N196" t="n">
        <v>0</v>
      </c>
      <c r="O196" t="n">
        <v>0</v>
      </c>
      <c r="P196" t="n">
        <v>0</v>
      </c>
      <c r="Q196" t="n">
        <v>0</v>
      </c>
      <c r="R196" s="2" t="inlineStr"/>
    </row>
    <row r="197" ht="15" customHeight="1">
      <c r="A197" t="inlineStr">
        <is>
          <t>A 52439-2024</t>
        </is>
      </c>
      <c r="B197" s="1" t="n">
        <v>45608</v>
      </c>
      <c r="C197" s="1" t="n">
        <v>46103</v>
      </c>
      <c r="D197" t="inlineStr">
        <is>
          <t>DALARNAS LÄN</t>
        </is>
      </c>
      <c r="E197" t="inlineStr">
        <is>
          <t>GAGNEF</t>
        </is>
      </c>
      <c r="G197" t="n">
        <v>3.1</v>
      </c>
      <c r="H197" t="n">
        <v>0</v>
      </c>
      <c r="I197" t="n">
        <v>0</v>
      </c>
      <c r="J197" t="n">
        <v>0</v>
      </c>
      <c r="K197" t="n">
        <v>0</v>
      </c>
      <c r="L197" t="n">
        <v>0</v>
      </c>
      <c r="M197" t="n">
        <v>0</v>
      </c>
      <c r="N197" t="n">
        <v>0</v>
      </c>
      <c r="O197" t="n">
        <v>0</v>
      </c>
      <c r="P197" t="n">
        <v>0</v>
      </c>
      <c r="Q197" t="n">
        <v>0</v>
      </c>
      <c r="R197" s="2" t="inlineStr"/>
    </row>
    <row r="198" ht="15" customHeight="1">
      <c r="A198" t="inlineStr">
        <is>
          <t>A 10328-2026</t>
        </is>
      </c>
      <c r="B198" s="1" t="n">
        <v>46076.66283564815</v>
      </c>
      <c r="C198" s="1" t="n">
        <v>46103</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1584-2026</t>
        </is>
      </c>
      <c r="B199" s="1" t="n">
        <v>46034.43663194445</v>
      </c>
      <c r="C199" s="1" t="n">
        <v>46103</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46103</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2393-2026</t>
        </is>
      </c>
      <c r="B201" s="1" t="n">
        <v>46036.67758101852</v>
      </c>
      <c r="C201" s="1" t="n">
        <v>46103</v>
      </c>
      <c r="D201" t="inlineStr">
        <is>
          <t>DALARNAS LÄN</t>
        </is>
      </c>
      <c r="E201" t="inlineStr">
        <is>
          <t>GAGNEF</t>
        </is>
      </c>
      <c r="G201" t="n">
        <v>12.4</v>
      </c>
      <c r="H201" t="n">
        <v>0</v>
      </c>
      <c r="I201" t="n">
        <v>0</v>
      </c>
      <c r="J201" t="n">
        <v>0</v>
      </c>
      <c r="K201" t="n">
        <v>0</v>
      </c>
      <c r="L201" t="n">
        <v>0</v>
      </c>
      <c r="M201" t="n">
        <v>0</v>
      </c>
      <c r="N201" t="n">
        <v>0</v>
      </c>
      <c r="O201" t="n">
        <v>0</v>
      </c>
      <c r="P201" t="n">
        <v>0</v>
      </c>
      <c r="Q201" t="n">
        <v>0</v>
      </c>
      <c r="R201" s="2" t="inlineStr"/>
    </row>
    <row r="202" ht="15" customHeight="1">
      <c r="A202" t="inlineStr">
        <is>
          <t>A 2707-2026</t>
        </is>
      </c>
      <c r="B202" s="1" t="n">
        <v>46037.71488425926</v>
      </c>
      <c r="C202" s="1" t="n">
        <v>46103</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2172-2026</t>
        </is>
      </c>
      <c r="B203" s="1" t="n">
        <v>46036.44976851852</v>
      </c>
      <c r="C203" s="1" t="n">
        <v>46103</v>
      </c>
      <c r="D203" t="inlineStr">
        <is>
          <t>DALARNAS LÄN</t>
        </is>
      </c>
      <c r="E203" t="inlineStr">
        <is>
          <t>GAGNEF</t>
        </is>
      </c>
      <c r="G203" t="n">
        <v>1.3</v>
      </c>
      <c r="H203" t="n">
        <v>0</v>
      </c>
      <c r="I203" t="n">
        <v>0</v>
      </c>
      <c r="J203" t="n">
        <v>0</v>
      </c>
      <c r="K203" t="n">
        <v>0</v>
      </c>
      <c r="L203" t="n">
        <v>0</v>
      </c>
      <c r="M203" t="n">
        <v>0</v>
      </c>
      <c r="N203" t="n">
        <v>0</v>
      </c>
      <c r="O203" t="n">
        <v>0</v>
      </c>
      <c r="P203" t="n">
        <v>0</v>
      </c>
      <c r="Q203" t="n">
        <v>0</v>
      </c>
      <c r="R203" s="2" t="inlineStr"/>
    </row>
    <row r="204" ht="15" customHeight="1">
      <c r="A204" t="inlineStr">
        <is>
          <t>A 1918-2025</t>
        </is>
      </c>
      <c r="B204" s="1" t="n">
        <v>45671.66840277778</v>
      </c>
      <c r="C204" s="1" t="n">
        <v>46103</v>
      </c>
      <c r="D204" t="inlineStr">
        <is>
          <t>DALARNAS LÄN</t>
        </is>
      </c>
      <c r="E204" t="inlineStr">
        <is>
          <t>GAGNEF</t>
        </is>
      </c>
      <c r="G204" t="n">
        <v>6.8</v>
      </c>
      <c r="H204" t="n">
        <v>0</v>
      </c>
      <c r="I204" t="n">
        <v>0</v>
      </c>
      <c r="J204" t="n">
        <v>0</v>
      </c>
      <c r="K204" t="n">
        <v>0</v>
      </c>
      <c r="L204" t="n">
        <v>0</v>
      </c>
      <c r="M204" t="n">
        <v>0</v>
      </c>
      <c r="N204" t="n">
        <v>0</v>
      </c>
      <c r="O204" t="n">
        <v>0</v>
      </c>
      <c r="P204" t="n">
        <v>0</v>
      </c>
      <c r="Q204" t="n">
        <v>0</v>
      </c>
      <c r="R204" s="2" t="inlineStr"/>
    </row>
    <row r="205" ht="15" customHeight="1">
      <c r="A205" t="inlineStr">
        <is>
          <t>A 12741-2025</t>
        </is>
      </c>
      <c r="B205" s="1" t="n">
        <v>45733.54667824074</v>
      </c>
      <c r="C205" s="1" t="n">
        <v>46103</v>
      </c>
      <c r="D205" t="inlineStr">
        <is>
          <t>DALARNAS LÄN</t>
        </is>
      </c>
      <c r="E205" t="inlineStr">
        <is>
          <t>GAGNEF</t>
        </is>
      </c>
      <c r="G205" t="n">
        <v>4.6</v>
      </c>
      <c r="H205" t="n">
        <v>0</v>
      </c>
      <c r="I205" t="n">
        <v>0</v>
      </c>
      <c r="J205" t="n">
        <v>0</v>
      </c>
      <c r="K205" t="n">
        <v>0</v>
      </c>
      <c r="L205" t="n">
        <v>0</v>
      </c>
      <c r="M205" t="n">
        <v>0</v>
      </c>
      <c r="N205" t="n">
        <v>0</v>
      </c>
      <c r="O205" t="n">
        <v>0</v>
      </c>
      <c r="P205" t="n">
        <v>0</v>
      </c>
      <c r="Q205" t="n">
        <v>0</v>
      </c>
      <c r="R205" s="2" t="inlineStr"/>
    </row>
    <row r="206" ht="15" customHeight="1">
      <c r="A206" t="inlineStr">
        <is>
          <t>A 10491-2026</t>
        </is>
      </c>
      <c r="B206" s="1" t="n">
        <v>46076</v>
      </c>
      <c r="C206" s="1" t="n">
        <v>46103</v>
      </c>
      <c r="D206" t="inlineStr">
        <is>
          <t>DALARNAS LÄN</t>
        </is>
      </c>
      <c r="E206" t="inlineStr">
        <is>
          <t>GAGNEF</t>
        </is>
      </c>
      <c r="G206" t="n">
        <v>9.1</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46103</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30667-2024</t>
        </is>
      </c>
      <c r="B208" s="1" t="n">
        <v>45495.70825231481</v>
      </c>
      <c r="C208" s="1" t="n">
        <v>46103</v>
      </c>
      <c r="D208" t="inlineStr">
        <is>
          <t>DALARNAS LÄN</t>
        </is>
      </c>
      <c r="E208" t="inlineStr">
        <is>
          <t>GAGNEF</t>
        </is>
      </c>
      <c r="G208" t="n">
        <v>2</v>
      </c>
      <c r="H208" t="n">
        <v>0</v>
      </c>
      <c r="I208" t="n">
        <v>0</v>
      </c>
      <c r="J208" t="n">
        <v>0</v>
      </c>
      <c r="K208" t="n">
        <v>0</v>
      </c>
      <c r="L208" t="n">
        <v>0</v>
      </c>
      <c r="M208" t="n">
        <v>0</v>
      </c>
      <c r="N208" t="n">
        <v>0</v>
      </c>
      <c r="O208" t="n">
        <v>0</v>
      </c>
      <c r="P208" t="n">
        <v>0</v>
      </c>
      <c r="Q208" t="n">
        <v>0</v>
      </c>
      <c r="R208" s="2" t="inlineStr"/>
    </row>
    <row r="209" ht="15" customHeight="1">
      <c r="A209" t="inlineStr">
        <is>
          <t>A 42715-2024</t>
        </is>
      </c>
      <c r="B209" s="1" t="n">
        <v>45566.45429398148</v>
      </c>
      <c r="C209" s="1" t="n">
        <v>46103</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3125-2026</t>
        </is>
      </c>
      <c r="B210" s="1" t="n">
        <v>46041</v>
      </c>
      <c r="C210" s="1" t="n">
        <v>46103</v>
      </c>
      <c r="D210" t="inlineStr">
        <is>
          <t>DALARNAS LÄN</t>
        </is>
      </c>
      <c r="E210" t="inlineStr">
        <is>
          <t>GAGNEF</t>
        </is>
      </c>
      <c r="G210" t="n">
        <v>3.3</v>
      </c>
      <c r="H210" t="n">
        <v>0</v>
      </c>
      <c r="I210" t="n">
        <v>0</v>
      </c>
      <c r="J210" t="n">
        <v>0</v>
      </c>
      <c r="K210" t="n">
        <v>0</v>
      </c>
      <c r="L210" t="n">
        <v>0</v>
      </c>
      <c r="M210" t="n">
        <v>0</v>
      </c>
      <c r="N210" t="n">
        <v>0</v>
      </c>
      <c r="O210" t="n">
        <v>0</v>
      </c>
      <c r="P210" t="n">
        <v>0</v>
      </c>
      <c r="Q210" t="n">
        <v>0</v>
      </c>
      <c r="R210" s="2" t="inlineStr"/>
    </row>
    <row r="211" ht="15" customHeight="1">
      <c r="A211" t="inlineStr">
        <is>
          <t>A 7601-2024</t>
        </is>
      </c>
      <c r="B211" s="1" t="n">
        <v>45348.55956018518</v>
      </c>
      <c r="C211" s="1" t="n">
        <v>46103</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9954-2026</t>
        </is>
      </c>
      <c r="B212" s="1" t="n">
        <v>46073</v>
      </c>
      <c r="C212" s="1" t="n">
        <v>46103</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9956-2026</t>
        </is>
      </c>
      <c r="B213" s="1" t="n">
        <v>46073</v>
      </c>
      <c r="C213" s="1" t="n">
        <v>46103</v>
      </c>
      <c r="D213" t="inlineStr">
        <is>
          <t>DALARNAS LÄN</t>
        </is>
      </c>
      <c r="E213" t="inlineStr">
        <is>
          <t>GAGNEF</t>
        </is>
      </c>
      <c r="G213" t="n">
        <v>4.6</v>
      </c>
      <c r="H213" t="n">
        <v>0</v>
      </c>
      <c r="I213" t="n">
        <v>0</v>
      </c>
      <c r="J213" t="n">
        <v>0</v>
      </c>
      <c r="K213" t="n">
        <v>0</v>
      </c>
      <c r="L213" t="n">
        <v>0</v>
      </c>
      <c r="M213" t="n">
        <v>0</v>
      </c>
      <c r="N213" t="n">
        <v>0</v>
      </c>
      <c r="O213" t="n">
        <v>0</v>
      </c>
      <c r="P213" t="n">
        <v>0</v>
      </c>
      <c r="Q213" t="n">
        <v>0</v>
      </c>
      <c r="R213" s="2" t="inlineStr"/>
    </row>
    <row r="214" ht="15" customHeight="1">
      <c r="A214" t="inlineStr">
        <is>
          <t>A 52738-2025</t>
        </is>
      </c>
      <c r="B214" s="1" t="n">
        <v>45957.37429398148</v>
      </c>
      <c r="C214" s="1" t="n">
        <v>46103</v>
      </c>
      <c r="D214" t="inlineStr">
        <is>
          <t>DALARNAS LÄN</t>
        </is>
      </c>
      <c r="E214" t="inlineStr">
        <is>
          <t>GAGNEF</t>
        </is>
      </c>
      <c r="G214" t="n">
        <v>2</v>
      </c>
      <c r="H214" t="n">
        <v>0</v>
      </c>
      <c r="I214" t="n">
        <v>0</v>
      </c>
      <c r="J214" t="n">
        <v>0</v>
      </c>
      <c r="K214" t="n">
        <v>0</v>
      </c>
      <c r="L214" t="n">
        <v>0</v>
      </c>
      <c r="M214" t="n">
        <v>0</v>
      </c>
      <c r="N214" t="n">
        <v>0</v>
      </c>
      <c r="O214" t="n">
        <v>0</v>
      </c>
      <c r="P214" t="n">
        <v>0</v>
      </c>
      <c r="Q214" t="n">
        <v>0</v>
      </c>
      <c r="R214" s="2" t="inlineStr"/>
    </row>
    <row r="215" ht="15" customHeight="1">
      <c r="A215" t="inlineStr">
        <is>
          <t>A 2943-2026</t>
        </is>
      </c>
      <c r="B215" s="1" t="n">
        <v>46038.59100694444</v>
      </c>
      <c r="C215" s="1" t="n">
        <v>46103</v>
      </c>
      <c r="D215" t="inlineStr">
        <is>
          <t>DALARNAS LÄN</t>
        </is>
      </c>
      <c r="E215" t="inlineStr">
        <is>
          <t>GAGNEF</t>
        </is>
      </c>
      <c r="G215" t="n">
        <v>7.2</v>
      </c>
      <c r="H215" t="n">
        <v>0</v>
      </c>
      <c r="I215" t="n">
        <v>0</v>
      </c>
      <c r="J215" t="n">
        <v>0</v>
      </c>
      <c r="K215" t="n">
        <v>0</v>
      </c>
      <c r="L215" t="n">
        <v>0</v>
      </c>
      <c r="M215" t="n">
        <v>0</v>
      </c>
      <c r="N215" t="n">
        <v>0</v>
      </c>
      <c r="O215" t="n">
        <v>0</v>
      </c>
      <c r="P215" t="n">
        <v>0</v>
      </c>
      <c r="Q215" t="n">
        <v>0</v>
      </c>
      <c r="R215" s="2" t="inlineStr"/>
    </row>
    <row r="216" ht="15" customHeight="1">
      <c r="A216" t="inlineStr">
        <is>
          <t>A 52425-2025</t>
        </is>
      </c>
      <c r="B216" s="1" t="n">
        <v>45954.3783912037</v>
      </c>
      <c r="C216" s="1" t="n">
        <v>46103</v>
      </c>
      <c r="D216" t="inlineStr">
        <is>
          <t>DALARNAS LÄN</t>
        </is>
      </c>
      <c r="E216" t="inlineStr">
        <is>
          <t>GAGNEF</t>
        </is>
      </c>
      <c r="G216" t="n">
        <v>7.5</v>
      </c>
      <c r="H216" t="n">
        <v>0</v>
      </c>
      <c r="I216" t="n">
        <v>0</v>
      </c>
      <c r="J216" t="n">
        <v>0</v>
      </c>
      <c r="K216" t="n">
        <v>0</v>
      </c>
      <c r="L216" t="n">
        <v>0</v>
      </c>
      <c r="M216" t="n">
        <v>0</v>
      </c>
      <c r="N216" t="n">
        <v>0</v>
      </c>
      <c r="O216" t="n">
        <v>0</v>
      </c>
      <c r="P216" t="n">
        <v>0</v>
      </c>
      <c r="Q216" t="n">
        <v>0</v>
      </c>
      <c r="R216" s="2" t="inlineStr"/>
    </row>
    <row r="217" ht="15" customHeight="1">
      <c r="A217" t="inlineStr">
        <is>
          <t>A 2916-2026</t>
        </is>
      </c>
      <c r="B217" s="1" t="n">
        <v>46038.56959490741</v>
      </c>
      <c r="C217" s="1" t="n">
        <v>46103</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2924-2026</t>
        </is>
      </c>
      <c r="B218" s="1" t="n">
        <v>46038.58</v>
      </c>
      <c r="C218" s="1" t="n">
        <v>46103</v>
      </c>
      <c r="D218" t="inlineStr">
        <is>
          <t>DALARNAS LÄN</t>
        </is>
      </c>
      <c r="E218" t="inlineStr">
        <is>
          <t>GAGNEF</t>
        </is>
      </c>
      <c r="G218" t="n">
        <v>1.7</v>
      </c>
      <c r="H218" t="n">
        <v>0</v>
      </c>
      <c r="I218" t="n">
        <v>0</v>
      </c>
      <c r="J218" t="n">
        <v>0</v>
      </c>
      <c r="K218" t="n">
        <v>0</v>
      </c>
      <c r="L218" t="n">
        <v>0</v>
      </c>
      <c r="M218" t="n">
        <v>0</v>
      </c>
      <c r="N218" t="n">
        <v>0</v>
      </c>
      <c r="O218" t="n">
        <v>0</v>
      </c>
      <c r="P218" t="n">
        <v>0</v>
      </c>
      <c r="Q218" t="n">
        <v>0</v>
      </c>
      <c r="R218" s="2" t="inlineStr"/>
    </row>
    <row r="219" ht="15" customHeight="1">
      <c r="A219" t="inlineStr">
        <is>
          <t>A 51251-2023</t>
        </is>
      </c>
      <c r="B219" s="1" t="n">
        <v>45219.48548611111</v>
      </c>
      <c r="C219" s="1" t="n">
        <v>46103</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51287-2023</t>
        </is>
      </c>
      <c r="B220" s="1" t="n">
        <v>45219</v>
      </c>
      <c r="C220" s="1" t="n">
        <v>46103</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3599-2026</t>
        </is>
      </c>
      <c r="B221" s="1" t="n">
        <v>46042</v>
      </c>
      <c r="C221" s="1" t="n">
        <v>46103</v>
      </c>
      <c r="D221" t="inlineStr">
        <is>
          <t>DALARNAS LÄN</t>
        </is>
      </c>
      <c r="E221" t="inlineStr">
        <is>
          <t>GAGNEF</t>
        </is>
      </c>
      <c r="G221" t="n">
        <v>2</v>
      </c>
      <c r="H221" t="n">
        <v>0</v>
      </c>
      <c r="I221" t="n">
        <v>0</v>
      </c>
      <c r="J221" t="n">
        <v>0</v>
      </c>
      <c r="K221" t="n">
        <v>0</v>
      </c>
      <c r="L221" t="n">
        <v>0</v>
      </c>
      <c r="M221" t="n">
        <v>0</v>
      </c>
      <c r="N221" t="n">
        <v>0</v>
      </c>
      <c r="O221" t="n">
        <v>0</v>
      </c>
      <c r="P221" t="n">
        <v>0</v>
      </c>
      <c r="Q221" t="n">
        <v>0</v>
      </c>
      <c r="R221" s="2" t="inlineStr"/>
    </row>
    <row r="222" ht="15" customHeight="1">
      <c r="A222" t="inlineStr">
        <is>
          <t>A 3389-2026</t>
        </is>
      </c>
      <c r="B222" s="1" t="n">
        <v>46042.36956018519</v>
      </c>
      <c r="C222" s="1" t="n">
        <v>46103</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54018-2025</t>
        </is>
      </c>
      <c r="B223" s="1" t="n">
        <v>45961</v>
      </c>
      <c r="C223" s="1" t="n">
        <v>46103</v>
      </c>
      <c r="D223" t="inlineStr">
        <is>
          <t>DALARNAS LÄN</t>
        </is>
      </c>
      <c r="E223" t="inlineStr">
        <is>
          <t>GAGNEF</t>
        </is>
      </c>
      <c r="G223" t="n">
        <v>5.1</v>
      </c>
      <c r="H223" t="n">
        <v>0</v>
      </c>
      <c r="I223" t="n">
        <v>0</v>
      </c>
      <c r="J223" t="n">
        <v>0</v>
      </c>
      <c r="K223" t="n">
        <v>0</v>
      </c>
      <c r="L223" t="n">
        <v>0</v>
      </c>
      <c r="M223" t="n">
        <v>0</v>
      </c>
      <c r="N223" t="n">
        <v>0</v>
      </c>
      <c r="O223" t="n">
        <v>0</v>
      </c>
      <c r="P223" t="n">
        <v>0</v>
      </c>
      <c r="Q223" t="n">
        <v>0</v>
      </c>
      <c r="R223" s="2" t="inlineStr"/>
    </row>
    <row r="224" ht="15" customHeight="1">
      <c r="A224" t="inlineStr">
        <is>
          <t>A 53917-2025</t>
        </is>
      </c>
      <c r="B224" s="1" t="n">
        <v>45961</v>
      </c>
      <c r="C224" s="1" t="n">
        <v>46103</v>
      </c>
      <c r="D224" t="inlineStr">
        <is>
          <t>DALARNAS LÄN</t>
        </is>
      </c>
      <c r="E224" t="inlineStr">
        <is>
          <t>GAGNEF</t>
        </is>
      </c>
      <c r="F224" t="inlineStr">
        <is>
          <t>Kommuner</t>
        </is>
      </c>
      <c r="G224" t="n">
        <v>1.8</v>
      </c>
      <c r="H224" t="n">
        <v>0</v>
      </c>
      <c r="I224" t="n">
        <v>0</v>
      </c>
      <c r="J224" t="n">
        <v>0</v>
      </c>
      <c r="K224" t="n">
        <v>0</v>
      </c>
      <c r="L224" t="n">
        <v>0</v>
      </c>
      <c r="M224" t="n">
        <v>0</v>
      </c>
      <c r="N224" t="n">
        <v>0</v>
      </c>
      <c r="O224" t="n">
        <v>0</v>
      </c>
      <c r="P224" t="n">
        <v>0</v>
      </c>
      <c r="Q224" t="n">
        <v>0</v>
      </c>
      <c r="R224" s="2" t="inlineStr"/>
    </row>
    <row r="225" ht="15" customHeight="1">
      <c r="A225" t="inlineStr">
        <is>
          <t>A 4238-2026</t>
        </is>
      </c>
      <c r="B225" s="1" t="n">
        <v>46044</v>
      </c>
      <c r="C225" s="1" t="n">
        <v>46103</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1479-2025</t>
        </is>
      </c>
      <c r="B226" s="1" t="n">
        <v>45670</v>
      </c>
      <c r="C226" s="1" t="n">
        <v>46103</v>
      </c>
      <c r="D226" t="inlineStr">
        <is>
          <t>DALARNAS LÄN</t>
        </is>
      </c>
      <c r="E226" t="inlineStr">
        <is>
          <t>GAGNEF</t>
        </is>
      </c>
      <c r="G226" t="n">
        <v>5.5</v>
      </c>
      <c r="H226" t="n">
        <v>0</v>
      </c>
      <c r="I226" t="n">
        <v>0</v>
      </c>
      <c r="J226" t="n">
        <v>0</v>
      </c>
      <c r="K226" t="n">
        <v>0</v>
      </c>
      <c r="L226" t="n">
        <v>0</v>
      </c>
      <c r="M226" t="n">
        <v>0</v>
      </c>
      <c r="N226" t="n">
        <v>0</v>
      </c>
      <c r="O226" t="n">
        <v>0</v>
      </c>
      <c r="P226" t="n">
        <v>0</v>
      </c>
      <c r="Q226" t="n">
        <v>0</v>
      </c>
      <c r="R226" s="2" t="inlineStr"/>
    </row>
    <row r="227" ht="15" customHeight="1">
      <c r="A227" t="inlineStr">
        <is>
          <t>A 1481-2025</t>
        </is>
      </c>
      <c r="B227" s="1" t="n">
        <v>45670</v>
      </c>
      <c r="C227" s="1" t="n">
        <v>46103</v>
      </c>
      <c r="D227" t="inlineStr">
        <is>
          <t>DALARNAS LÄN</t>
        </is>
      </c>
      <c r="E227" t="inlineStr">
        <is>
          <t>GAGNEF</t>
        </is>
      </c>
      <c r="G227" t="n">
        <v>0.6</v>
      </c>
      <c r="H227" t="n">
        <v>0</v>
      </c>
      <c r="I227" t="n">
        <v>0</v>
      </c>
      <c r="J227" t="n">
        <v>0</v>
      </c>
      <c r="K227" t="n">
        <v>0</v>
      </c>
      <c r="L227" t="n">
        <v>0</v>
      </c>
      <c r="M227" t="n">
        <v>0</v>
      </c>
      <c r="N227" t="n">
        <v>0</v>
      </c>
      <c r="O227" t="n">
        <v>0</v>
      </c>
      <c r="P227" t="n">
        <v>0</v>
      </c>
      <c r="Q227" t="n">
        <v>0</v>
      </c>
      <c r="R227" s="2" t="inlineStr"/>
    </row>
    <row r="228" ht="15" customHeight="1">
      <c r="A228" t="inlineStr">
        <is>
          <t>A 6795-2024</t>
        </is>
      </c>
      <c r="B228" s="1" t="n">
        <v>45342.56087962963</v>
      </c>
      <c r="C228" s="1" t="n">
        <v>46103</v>
      </c>
      <c r="D228" t="inlineStr">
        <is>
          <t>DALARNAS LÄN</t>
        </is>
      </c>
      <c r="E228" t="inlineStr">
        <is>
          <t>GAGNEF</t>
        </is>
      </c>
      <c r="G228" t="n">
        <v>3.6</v>
      </c>
      <c r="H228" t="n">
        <v>0</v>
      </c>
      <c r="I228" t="n">
        <v>0</v>
      </c>
      <c r="J228" t="n">
        <v>0</v>
      </c>
      <c r="K228" t="n">
        <v>0</v>
      </c>
      <c r="L228" t="n">
        <v>0</v>
      </c>
      <c r="M228" t="n">
        <v>0</v>
      </c>
      <c r="N228" t="n">
        <v>0</v>
      </c>
      <c r="O228" t="n">
        <v>0</v>
      </c>
      <c r="P228" t="n">
        <v>0</v>
      </c>
      <c r="Q228" t="n">
        <v>0</v>
      </c>
      <c r="R228" s="2" t="inlineStr"/>
    </row>
    <row r="229" ht="15" customHeight="1">
      <c r="A229" t="inlineStr">
        <is>
          <t>A 4397-2026</t>
        </is>
      </c>
      <c r="B229" s="1" t="n">
        <v>46045.58430555555</v>
      </c>
      <c r="C229" s="1" t="n">
        <v>46103</v>
      </c>
      <c r="D229" t="inlineStr">
        <is>
          <t>DALARNAS LÄN</t>
        </is>
      </c>
      <c r="E229" t="inlineStr">
        <is>
          <t>GAGNEF</t>
        </is>
      </c>
      <c r="G229" t="n">
        <v>7.2</v>
      </c>
      <c r="H229" t="n">
        <v>0</v>
      </c>
      <c r="I229" t="n">
        <v>0</v>
      </c>
      <c r="J229" t="n">
        <v>0</v>
      </c>
      <c r="K229" t="n">
        <v>0</v>
      </c>
      <c r="L229" t="n">
        <v>0</v>
      </c>
      <c r="M229" t="n">
        <v>0</v>
      </c>
      <c r="N229" t="n">
        <v>0</v>
      </c>
      <c r="O229" t="n">
        <v>0</v>
      </c>
      <c r="P229" t="n">
        <v>0</v>
      </c>
      <c r="Q229" t="n">
        <v>0</v>
      </c>
      <c r="R229" s="2" t="inlineStr"/>
    </row>
    <row r="230" ht="15" customHeight="1">
      <c r="A230" t="inlineStr">
        <is>
          <t>A 54285-2025</t>
        </is>
      </c>
      <c r="B230" s="1" t="n">
        <v>45964.79503472222</v>
      </c>
      <c r="C230" s="1" t="n">
        <v>46103</v>
      </c>
      <c r="D230" t="inlineStr">
        <is>
          <t>DALARNAS LÄN</t>
        </is>
      </c>
      <c r="E230" t="inlineStr">
        <is>
          <t>GAGNEF</t>
        </is>
      </c>
      <c r="G230" t="n">
        <v>1.5</v>
      </c>
      <c r="H230" t="n">
        <v>0</v>
      </c>
      <c r="I230" t="n">
        <v>0</v>
      </c>
      <c r="J230" t="n">
        <v>0</v>
      </c>
      <c r="K230" t="n">
        <v>0</v>
      </c>
      <c r="L230" t="n">
        <v>0</v>
      </c>
      <c r="M230" t="n">
        <v>0</v>
      </c>
      <c r="N230" t="n">
        <v>0</v>
      </c>
      <c r="O230" t="n">
        <v>0</v>
      </c>
      <c r="P230" t="n">
        <v>0</v>
      </c>
      <c r="Q230" t="n">
        <v>0</v>
      </c>
      <c r="R230" s="2" t="inlineStr"/>
    </row>
    <row r="231" ht="15" customHeight="1">
      <c r="A231" t="inlineStr">
        <is>
          <t>A 4416-2026</t>
        </is>
      </c>
      <c r="B231" s="1" t="n">
        <v>46045.60434027778</v>
      </c>
      <c r="C231" s="1" t="n">
        <v>46103</v>
      </c>
      <c r="D231" t="inlineStr">
        <is>
          <t>DALARNAS LÄN</t>
        </is>
      </c>
      <c r="E231" t="inlineStr">
        <is>
          <t>GAGNEF</t>
        </is>
      </c>
      <c r="G231" t="n">
        <v>2.2</v>
      </c>
      <c r="H231" t="n">
        <v>0</v>
      </c>
      <c r="I231" t="n">
        <v>0</v>
      </c>
      <c r="J231" t="n">
        <v>0</v>
      </c>
      <c r="K231" t="n">
        <v>0</v>
      </c>
      <c r="L231" t="n">
        <v>0</v>
      </c>
      <c r="M231" t="n">
        <v>0</v>
      </c>
      <c r="N231" t="n">
        <v>0</v>
      </c>
      <c r="O231" t="n">
        <v>0</v>
      </c>
      <c r="P231" t="n">
        <v>0</v>
      </c>
      <c r="Q231" t="n">
        <v>0</v>
      </c>
      <c r="R231" s="2" t="inlineStr"/>
    </row>
    <row r="232" ht="15" customHeight="1">
      <c r="A232" t="inlineStr">
        <is>
          <t>A 4105-2026</t>
        </is>
      </c>
      <c r="B232" s="1" t="n">
        <v>46044</v>
      </c>
      <c r="C232" s="1" t="n">
        <v>46103</v>
      </c>
      <c r="D232" t="inlineStr">
        <is>
          <t>DALARNAS LÄN</t>
        </is>
      </c>
      <c r="E232" t="inlineStr">
        <is>
          <t>GAGNEF</t>
        </is>
      </c>
      <c r="F232" t="inlineStr">
        <is>
          <t>Bergvik skog väst AB</t>
        </is>
      </c>
      <c r="G232" t="n">
        <v>5.5</v>
      </c>
      <c r="H232" t="n">
        <v>0</v>
      </c>
      <c r="I232" t="n">
        <v>0</v>
      </c>
      <c r="J232" t="n">
        <v>0</v>
      </c>
      <c r="K232" t="n">
        <v>0</v>
      </c>
      <c r="L232" t="n">
        <v>0</v>
      </c>
      <c r="M232" t="n">
        <v>0</v>
      </c>
      <c r="N232" t="n">
        <v>0</v>
      </c>
      <c r="O232" t="n">
        <v>0</v>
      </c>
      <c r="P232" t="n">
        <v>0</v>
      </c>
      <c r="Q232" t="n">
        <v>0</v>
      </c>
      <c r="R232" s="2" t="inlineStr"/>
    </row>
    <row r="233" ht="15" customHeight="1">
      <c r="A233" t="inlineStr">
        <is>
          <t>A 44149-2023</t>
        </is>
      </c>
      <c r="B233" s="1" t="n">
        <v>45188.47653935185</v>
      </c>
      <c r="C233" s="1" t="n">
        <v>46103</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52432-2024</t>
        </is>
      </c>
      <c r="B234" s="1" t="n">
        <v>45608</v>
      </c>
      <c r="C234" s="1" t="n">
        <v>46103</v>
      </c>
      <c r="D234" t="inlineStr">
        <is>
          <t>DALARNAS LÄN</t>
        </is>
      </c>
      <c r="E234" t="inlineStr">
        <is>
          <t>GAGNEF</t>
        </is>
      </c>
      <c r="G234" t="n">
        <v>1.6</v>
      </c>
      <c r="H234" t="n">
        <v>0</v>
      </c>
      <c r="I234" t="n">
        <v>0</v>
      </c>
      <c r="J234" t="n">
        <v>0</v>
      </c>
      <c r="K234" t="n">
        <v>0</v>
      </c>
      <c r="L234" t="n">
        <v>0</v>
      </c>
      <c r="M234" t="n">
        <v>0</v>
      </c>
      <c r="N234" t="n">
        <v>0</v>
      </c>
      <c r="O234" t="n">
        <v>0</v>
      </c>
      <c r="P234" t="n">
        <v>0</v>
      </c>
      <c r="Q234" t="n">
        <v>0</v>
      </c>
      <c r="R234" s="2" t="inlineStr"/>
    </row>
    <row r="235" ht="15" customHeight="1">
      <c r="A235" t="inlineStr">
        <is>
          <t>A 4682-2026</t>
        </is>
      </c>
      <c r="B235" s="1" t="n">
        <v>46048.43288194444</v>
      </c>
      <c r="C235" s="1" t="n">
        <v>46103</v>
      </c>
      <c r="D235" t="inlineStr">
        <is>
          <t>DALARNAS LÄN</t>
        </is>
      </c>
      <c r="E235" t="inlineStr">
        <is>
          <t>GAGNEF</t>
        </is>
      </c>
      <c r="G235" t="n">
        <v>3.8</v>
      </c>
      <c r="H235" t="n">
        <v>0</v>
      </c>
      <c r="I235" t="n">
        <v>0</v>
      </c>
      <c r="J235" t="n">
        <v>0</v>
      </c>
      <c r="K235" t="n">
        <v>0</v>
      </c>
      <c r="L235" t="n">
        <v>0</v>
      </c>
      <c r="M235" t="n">
        <v>0</v>
      </c>
      <c r="N235" t="n">
        <v>0</v>
      </c>
      <c r="O235" t="n">
        <v>0</v>
      </c>
      <c r="P235" t="n">
        <v>0</v>
      </c>
      <c r="Q235" t="n">
        <v>0</v>
      </c>
      <c r="R235" s="2" t="inlineStr"/>
    </row>
    <row r="236" ht="15" customHeight="1">
      <c r="A236" t="inlineStr">
        <is>
          <t>A 44546-2024</t>
        </is>
      </c>
      <c r="B236" s="1" t="n">
        <v>45574</v>
      </c>
      <c r="C236" s="1" t="n">
        <v>46103</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4718-2026</t>
        </is>
      </c>
      <c r="B237" s="1" t="n">
        <v>46048.46645833334</v>
      </c>
      <c r="C237" s="1" t="n">
        <v>46103</v>
      </c>
      <c r="D237" t="inlineStr">
        <is>
          <t>DALARNAS LÄN</t>
        </is>
      </c>
      <c r="E237" t="inlineStr">
        <is>
          <t>GAGNEF</t>
        </is>
      </c>
      <c r="G237" t="n">
        <v>5.3</v>
      </c>
      <c r="H237" t="n">
        <v>0</v>
      </c>
      <c r="I237" t="n">
        <v>0</v>
      </c>
      <c r="J237" t="n">
        <v>0</v>
      </c>
      <c r="K237" t="n">
        <v>0</v>
      </c>
      <c r="L237" t="n">
        <v>0</v>
      </c>
      <c r="M237" t="n">
        <v>0</v>
      </c>
      <c r="N237" t="n">
        <v>0</v>
      </c>
      <c r="O237" t="n">
        <v>0</v>
      </c>
      <c r="P237" t="n">
        <v>0</v>
      </c>
      <c r="Q237" t="n">
        <v>0</v>
      </c>
      <c r="R237" s="2" t="inlineStr"/>
    </row>
    <row r="238" ht="15" customHeight="1">
      <c r="A238" t="inlineStr">
        <is>
          <t>A 4826-2026</t>
        </is>
      </c>
      <c r="B238" s="1" t="n">
        <v>46048.59686342593</v>
      </c>
      <c r="C238" s="1" t="n">
        <v>46103</v>
      </c>
      <c r="D238" t="inlineStr">
        <is>
          <t>DALARNAS LÄN</t>
        </is>
      </c>
      <c r="E238" t="inlineStr">
        <is>
          <t>GAGNEF</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4615-2026</t>
        </is>
      </c>
      <c r="B239" s="1" t="n">
        <v>46048.37015046296</v>
      </c>
      <c r="C239" s="1" t="n">
        <v>46103</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4601-2026</t>
        </is>
      </c>
      <c r="B240" s="1" t="n">
        <v>46048</v>
      </c>
      <c r="C240" s="1" t="n">
        <v>46103</v>
      </c>
      <c r="D240" t="inlineStr">
        <is>
          <t>DALARNAS LÄN</t>
        </is>
      </c>
      <c r="E240" t="inlineStr">
        <is>
          <t>GAGNEF</t>
        </is>
      </c>
      <c r="F240" t="inlineStr">
        <is>
          <t>Bergvik skog väst AB</t>
        </is>
      </c>
      <c r="G240" t="n">
        <v>5.5</v>
      </c>
      <c r="H240" t="n">
        <v>0</v>
      </c>
      <c r="I240" t="n">
        <v>0</v>
      </c>
      <c r="J240" t="n">
        <v>0</v>
      </c>
      <c r="K240" t="n">
        <v>0</v>
      </c>
      <c r="L240" t="n">
        <v>0</v>
      </c>
      <c r="M240" t="n">
        <v>0</v>
      </c>
      <c r="N240" t="n">
        <v>0</v>
      </c>
      <c r="O240" t="n">
        <v>0</v>
      </c>
      <c r="P240" t="n">
        <v>0</v>
      </c>
      <c r="Q240" t="n">
        <v>0</v>
      </c>
      <c r="R240" s="2" t="inlineStr"/>
    </row>
    <row r="241" ht="15" customHeight="1">
      <c r="A241" t="inlineStr">
        <is>
          <t>A 16192-2022</t>
        </is>
      </c>
      <c r="B241" s="1" t="n">
        <v>44669</v>
      </c>
      <c r="C241" s="1" t="n">
        <v>46103</v>
      </c>
      <c r="D241" t="inlineStr">
        <is>
          <t>DALARNAS LÄN</t>
        </is>
      </c>
      <c r="E241" t="inlineStr">
        <is>
          <t>GAGNEF</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4871-2026</t>
        </is>
      </c>
      <c r="B242" s="1" t="n">
        <v>46048.64840277778</v>
      </c>
      <c r="C242" s="1" t="n">
        <v>46103</v>
      </c>
      <c r="D242" t="inlineStr">
        <is>
          <t>DALARNAS LÄN</t>
        </is>
      </c>
      <c r="E242" t="inlineStr">
        <is>
          <t>GAGNEF</t>
        </is>
      </c>
      <c r="G242" t="n">
        <v>2.8</v>
      </c>
      <c r="H242" t="n">
        <v>0</v>
      </c>
      <c r="I242" t="n">
        <v>0</v>
      </c>
      <c r="J242" t="n">
        <v>0</v>
      </c>
      <c r="K242" t="n">
        <v>0</v>
      </c>
      <c r="L242" t="n">
        <v>0</v>
      </c>
      <c r="M242" t="n">
        <v>0</v>
      </c>
      <c r="N242" t="n">
        <v>0</v>
      </c>
      <c r="O242" t="n">
        <v>0</v>
      </c>
      <c r="P242" t="n">
        <v>0</v>
      </c>
      <c r="Q242" t="n">
        <v>0</v>
      </c>
      <c r="R242" s="2" t="inlineStr"/>
    </row>
    <row r="243" ht="15" customHeight="1">
      <c r="A243" t="inlineStr">
        <is>
          <t>A 4686-2026</t>
        </is>
      </c>
      <c r="B243" s="1" t="n">
        <v>46048.43784722222</v>
      </c>
      <c r="C243" s="1" t="n">
        <v>46103</v>
      </c>
      <c r="D243" t="inlineStr">
        <is>
          <t>DALARNAS LÄN</t>
        </is>
      </c>
      <c r="E243" t="inlineStr">
        <is>
          <t>GAGNEF</t>
        </is>
      </c>
      <c r="G243" t="n">
        <v>4</v>
      </c>
      <c r="H243" t="n">
        <v>0</v>
      </c>
      <c r="I243" t="n">
        <v>0</v>
      </c>
      <c r="J243" t="n">
        <v>0</v>
      </c>
      <c r="K243" t="n">
        <v>0</v>
      </c>
      <c r="L243" t="n">
        <v>0</v>
      </c>
      <c r="M243" t="n">
        <v>0</v>
      </c>
      <c r="N243" t="n">
        <v>0</v>
      </c>
      <c r="O243" t="n">
        <v>0</v>
      </c>
      <c r="P243" t="n">
        <v>0</v>
      </c>
      <c r="Q243" t="n">
        <v>0</v>
      </c>
      <c r="R243" s="2" t="inlineStr"/>
    </row>
    <row r="244" ht="15" customHeight="1">
      <c r="A244" t="inlineStr">
        <is>
          <t>A 5686-2026</t>
        </is>
      </c>
      <c r="B244" s="1" t="n">
        <v>46051.48701388889</v>
      </c>
      <c r="C244" s="1" t="n">
        <v>46103</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28591-2024</t>
        </is>
      </c>
      <c r="B245" s="1" t="n">
        <v>45478.41777777778</v>
      </c>
      <c r="C245" s="1" t="n">
        <v>46103</v>
      </c>
      <c r="D245" t="inlineStr">
        <is>
          <t>DALARNAS LÄN</t>
        </is>
      </c>
      <c r="E245" t="inlineStr">
        <is>
          <t>GAGNEF</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5548-2026</t>
        </is>
      </c>
      <c r="B246" s="1" t="n">
        <v>46050.71394675926</v>
      </c>
      <c r="C246" s="1" t="n">
        <v>46103</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40409-2022</t>
        </is>
      </c>
      <c r="B247" s="1" t="n">
        <v>44823.45168981481</v>
      </c>
      <c r="C247" s="1" t="n">
        <v>46103</v>
      </c>
      <c r="D247" t="inlineStr">
        <is>
          <t>DALARNAS LÄN</t>
        </is>
      </c>
      <c r="E247" t="inlineStr">
        <is>
          <t>GAGNEF</t>
        </is>
      </c>
      <c r="G247" t="n">
        <v>3</v>
      </c>
      <c r="H247" t="n">
        <v>0</v>
      </c>
      <c r="I247" t="n">
        <v>0</v>
      </c>
      <c r="J247" t="n">
        <v>0</v>
      </c>
      <c r="K247" t="n">
        <v>0</v>
      </c>
      <c r="L247" t="n">
        <v>0</v>
      </c>
      <c r="M247" t="n">
        <v>0</v>
      </c>
      <c r="N247" t="n">
        <v>0</v>
      </c>
      <c r="O247" t="n">
        <v>0</v>
      </c>
      <c r="P247" t="n">
        <v>0</v>
      </c>
      <c r="Q247" t="n">
        <v>0</v>
      </c>
      <c r="R247" s="2" t="inlineStr"/>
    </row>
    <row r="248" ht="15" customHeight="1">
      <c r="A248" t="inlineStr">
        <is>
          <t>A 5256-2026</t>
        </is>
      </c>
      <c r="B248" s="1" t="n">
        <v>46050</v>
      </c>
      <c r="C248" s="1" t="n">
        <v>46103</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5682-2026</t>
        </is>
      </c>
      <c r="B249" s="1" t="n">
        <v>46051.48131944444</v>
      </c>
      <c r="C249" s="1" t="n">
        <v>46103</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7817-2023</t>
        </is>
      </c>
      <c r="B250" s="1" t="n">
        <v>44973.4645949074</v>
      </c>
      <c r="C250" s="1" t="n">
        <v>46103</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44054-2024</t>
        </is>
      </c>
      <c r="B251" s="1" t="n">
        <v>45572.59703703703</v>
      </c>
      <c r="C251" s="1" t="n">
        <v>46103</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6303-2026</t>
        </is>
      </c>
      <c r="B252" s="1" t="n">
        <v>46055.56982638889</v>
      </c>
      <c r="C252" s="1" t="n">
        <v>46103</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21456-2021</t>
        </is>
      </c>
      <c r="B253" s="1" t="n">
        <v>44321</v>
      </c>
      <c r="C253" s="1" t="n">
        <v>46103</v>
      </c>
      <c r="D253" t="inlineStr">
        <is>
          <t>DALARNAS LÄN</t>
        </is>
      </c>
      <c r="E253" t="inlineStr">
        <is>
          <t>GAGNEF</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26369-2025</t>
        </is>
      </c>
      <c r="B254" s="1" t="n">
        <v>45806.39133101852</v>
      </c>
      <c r="C254" s="1" t="n">
        <v>46103</v>
      </c>
      <c r="D254" t="inlineStr">
        <is>
          <t>DALARNAS LÄN</t>
        </is>
      </c>
      <c r="E254" t="inlineStr">
        <is>
          <t>GAGNEF</t>
        </is>
      </c>
      <c r="G254" t="n">
        <v>12.9</v>
      </c>
      <c r="H254" t="n">
        <v>0</v>
      </c>
      <c r="I254" t="n">
        <v>0</v>
      </c>
      <c r="J254" t="n">
        <v>0</v>
      </c>
      <c r="K254" t="n">
        <v>0</v>
      </c>
      <c r="L254" t="n">
        <v>0</v>
      </c>
      <c r="M254" t="n">
        <v>0</v>
      </c>
      <c r="N254" t="n">
        <v>0</v>
      </c>
      <c r="O254" t="n">
        <v>0</v>
      </c>
      <c r="P254" t="n">
        <v>0</v>
      </c>
      <c r="Q254" t="n">
        <v>0</v>
      </c>
      <c r="R254" s="2" t="inlineStr"/>
    </row>
    <row r="255" ht="15" customHeight="1">
      <c r="A255" t="inlineStr">
        <is>
          <t>A 11259-2026</t>
        </is>
      </c>
      <c r="B255" s="1" t="n">
        <v>46080.55461805555</v>
      </c>
      <c r="C255" s="1" t="n">
        <v>46103</v>
      </c>
      <c r="D255" t="inlineStr">
        <is>
          <t>DALARNAS LÄN</t>
        </is>
      </c>
      <c r="E255" t="inlineStr">
        <is>
          <t>GAGNEF</t>
        </is>
      </c>
      <c r="G255" t="n">
        <v>7.1</v>
      </c>
      <c r="H255" t="n">
        <v>0</v>
      </c>
      <c r="I255" t="n">
        <v>0</v>
      </c>
      <c r="J255" t="n">
        <v>0</v>
      </c>
      <c r="K255" t="n">
        <v>0</v>
      </c>
      <c r="L255" t="n">
        <v>0</v>
      </c>
      <c r="M255" t="n">
        <v>0</v>
      </c>
      <c r="N255" t="n">
        <v>0</v>
      </c>
      <c r="O255" t="n">
        <v>0</v>
      </c>
      <c r="P255" t="n">
        <v>0</v>
      </c>
      <c r="Q255" t="n">
        <v>0</v>
      </c>
      <c r="R255" s="2" t="inlineStr"/>
    </row>
    <row r="256" ht="15" customHeight="1">
      <c r="A256" t="inlineStr">
        <is>
          <t>A 52418-2024</t>
        </is>
      </c>
      <c r="B256" s="1" t="n">
        <v>45609.46230324074</v>
      </c>
      <c r="C256" s="1" t="n">
        <v>46103</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812-2025</t>
        </is>
      </c>
      <c r="B257" s="1" t="n">
        <v>45665.55768518519</v>
      </c>
      <c r="C257" s="1" t="n">
        <v>46103</v>
      </c>
      <c r="D257" t="inlineStr">
        <is>
          <t>DALARNAS LÄN</t>
        </is>
      </c>
      <c r="E257" t="inlineStr">
        <is>
          <t>GAGNEF</t>
        </is>
      </c>
      <c r="G257" t="n">
        <v>2.4</v>
      </c>
      <c r="H257" t="n">
        <v>0</v>
      </c>
      <c r="I257" t="n">
        <v>0</v>
      </c>
      <c r="J257" t="n">
        <v>0</v>
      </c>
      <c r="K257" t="n">
        <v>0</v>
      </c>
      <c r="L257" t="n">
        <v>0</v>
      </c>
      <c r="M257" t="n">
        <v>0</v>
      </c>
      <c r="N257" t="n">
        <v>0</v>
      </c>
      <c r="O257" t="n">
        <v>0</v>
      </c>
      <c r="P257" t="n">
        <v>0</v>
      </c>
      <c r="Q257" t="n">
        <v>0</v>
      </c>
      <c r="R257" s="2" t="inlineStr"/>
    </row>
    <row r="258" ht="15" customHeight="1">
      <c r="A258" t="inlineStr">
        <is>
          <t>A 10717-2024</t>
        </is>
      </c>
      <c r="B258" s="1" t="n">
        <v>45369.46217592592</v>
      </c>
      <c r="C258" s="1" t="n">
        <v>46103</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16409-2022</t>
        </is>
      </c>
      <c r="B259" s="1" t="n">
        <v>44671</v>
      </c>
      <c r="C259" s="1" t="n">
        <v>46103</v>
      </c>
      <c r="D259" t="inlineStr">
        <is>
          <t>DALARNAS LÄN</t>
        </is>
      </c>
      <c r="E259" t="inlineStr">
        <is>
          <t>GAGNEF</t>
        </is>
      </c>
      <c r="G259" t="n">
        <v>0.5</v>
      </c>
      <c r="H259" t="n">
        <v>0</v>
      </c>
      <c r="I259" t="n">
        <v>0</v>
      </c>
      <c r="J259" t="n">
        <v>0</v>
      </c>
      <c r="K259" t="n">
        <v>0</v>
      </c>
      <c r="L259" t="n">
        <v>0</v>
      </c>
      <c r="M259" t="n">
        <v>0</v>
      </c>
      <c r="N259" t="n">
        <v>0</v>
      </c>
      <c r="O259" t="n">
        <v>0</v>
      </c>
      <c r="P259" t="n">
        <v>0</v>
      </c>
      <c r="Q259" t="n">
        <v>0</v>
      </c>
      <c r="R259" s="2" t="inlineStr"/>
    </row>
    <row r="260" ht="15" customHeight="1">
      <c r="A260" t="inlineStr">
        <is>
          <t>A 10887-2026</t>
        </is>
      </c>
      <c r="B260" s="1" t="n">
        <v>46078</v>
      </c>
      <c r="C260" s="1" t="n">
        <v>46103</v>
      </c>
      <c r="D260" t="inlineStr">
        <is>
          <t>DALARNAS LÄN</t>
        </is>
      </c>
      <c r="E260" t="inlineStr">
        <is>
          <t>GAGNEF</t>
        </is>
      </c>
      <c r="G260" t="n">
        <v>12.2</v>
      </c>
      <c r="H260" t="n">
        <v>0</v>
      </c>
      <c r="I260" t="n">
        <v>0</v>
      </c>
      <c r="J260" t="n">
        <v>0</v>
      </c>
      <c r="K260" t="n">
        <v>0</v>
      </c>
      <c r="L260" t="n">
        <v>0</v>
      </c>
      <c r="M260" t="n">
        <v>0</v>
      </c>
      <c r="N260" t="n">
        <v>0</v>
      </c>
      <c r="O260" t="n">
        <v>0</v>
      </c>
      <c r="P260" t="n">
        <v>0</v>
      </c>
      <c r="Q260" t="n">
        <v>0</v>
      </c>
      <c r="R260" s="2" t="inlineStr"/>
    </row>
    <row r="261" ht="15" customHeight="1">
      <c r="A261" t="inlineStr">
        <is>
          <t>A 27387-2025</t>
        </is>
      </c>
      <c r="B261" s="1" t="n">
        <v>45812</v>
      </c>
      <c r="C261" s="1" t="n">
        <v>46103</v>
      </c>
      <c r="D261" t="inlineStr">
        <is>
          <t>DALARNAS LÄN</t>
        </is>
      </c>
      <c r="E261" t="inlineStr">
        <is>
          <t>GAGNEF</t>
        </is>
      </c>
      <c r="G261" t="n">
        <v>4.4</v>
      </c>
      <c r="H261" t="n">
        <v>0</v>
      </c>
      <c r="I261" t="n">
        <v>0</v>
      </c>
      <c r="J261" t="n">
        <v>0</v>
      </c>
      <c r="K261" t="n">
        <v>0</v>
      </c>
      <c r="L261" t="n">
        <v>0</v>
      </c>
      <c r="M261" t="n">
        <v>0</v>
      </c>
      <c r="N261" t="n">
        <v>0</v>
      </c>
      <c r="O261" t="n">
        <v>0</v>
      </c>
      <c r="P261" t="n">
        <v>0</v>
      </c>
      <c r="Q261" t="n">
        <v>0</v>
      </c>
      <c r="R261" s="2" t="inlineStr"/>
    </row>
    <row r="262" ht="15" customHeight="1">
      <c r="A262" t="inlineStr">
        <is>
          <t>A 13169-2025</t>
        </is>
      </c>
      <c r="B262" s="1" t="n">
        <v>45735.36532407408</v>
      </c>
      <c r="C262" s="1" t="n">
        <v>46103</v>
      </c>
      <c r="D262" t="inlineStr">
        <is>
          <t>DALARNAS LÄN</t>
        </is>
      </c>
      <c r="E262" t="inlineStr">
        <is>
          <t>GAGNEF</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55392-2022</t>
        </is>
      </c>
      <c r="B263" s="1" t="n">
        <v>44887</v>
      </c>
      <c r="C263" s="1" t="n">
        <v>46103</v>
      </c>
      <c r="D263" t="inlineStr">
        <is>
          <t>DALARNAS LÄN</t>
        </is>
      </c>
      <c r="E263" t="inlineStr">
        <is>
          <t>GAGNEF</t>
        </is>
      </c>
      <c r="G263" t="n">
        <v>0.4</v>
      </c>
      <c r="H263" t="n">
        <v>0</v>
      </c>
      <c r="I263" t="n">
        <v>0</v>
      </c>
      <c r="J263" t="n">
        <v>0</v>
      </c>
      <c r="K263" t="n">
        <v>0</v>
      </c>
      <c r="L263" t="n">
        <v>0</v>
      </c>
      <c r="M263" t="n">
        <v>0</v>
      </c>
      <c r="N263" t="n">
        <v>0</v>
      </c>
      <c r="O263" t="n">
        <v>0</v>
      </c>
      <c r="P263" t="n">
        <v>0</v>
      </c>
      <c r="Q263" t="n">
        <v>0</v>
      </c>
      <c r="R263" s="2" t="inlineStr"/>
    </row>
    <row r="264" ht="15" customHeight="1">
      <c r="A264" t="inlineStr">
        <is>
          <t>A 11397-2026</t>
        </is>
      </c>
      <c r="B264" s="1" t="n">
        <v>46083</v>
      </c>
      <c r="C264" s="1" t="n">
        <v>46103</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27889-2025</t>
        </is>
      </c>
      <c r="B265" s="1" t="n">
        <v>45817</v>
      </c>
      <c r="C265" s="1" t="n">
        <v>46103</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11311-2026</t>
        </is>
      </c>
      <c r="B266" s="1" t="n">
        <v>46080</v>
      </c>
      <c r="C266" s="1" t="n">
        <v>46103</v>
      </c>
      <c r="D266" t="inlineStr">
        <is>
          <t>DALARNAS LÄN</t>
        </is>
      </c>
      <c r="E266" t="inlineStr">
        <is>
          <t>GAGNEF</t>
        </is>
      </c>
      <c r="G266" t="n">
        <v>3.9</v>
      </c>
      <c r="H266" t="n">
        <v>0</v>
      </c>
      <c r="I266" t="n">
        <v>0</v>
      </c>
      <c r="J266" t="n">
        <v>0</v>
      </c>
      <c r="K266" t="n">
        <v>0</v>
      </c>
      <c r="L266" t="n">
        <v>0</v>
      </c>
      <c r="M266" t="n">
        <v>0</v>
      </c>
      <c r="N266" t="n">
        <v>0</v>
      </c>
      <c r="O266" t="n">
        <v>0</v>
      </c>
      <c r="P266" t="n">
        <v>0</v>
      </c>
      <c r="Q266" t="n">
        <v>0</v>
      </c>
      <c r="R266" s="2" t="inlineStr"/>
    </row>
    <row r="267" ht="15" customHeight="1">
      <c r="A267" t="inlineStr">
        <is>
          <t>A 11261-2026</t>
        </is>
      </c>
      <c r="B267" s="1" t="n">
        <v>46080</v>
      </c>
      <c r="C267" s="1" t="n">
        <v>46103</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14556-2026</t>
        </is>
      </c>
      <c r="B268" s="1" t="n">
        <v>46100.77256944445</v>
      </c>
      <c r="C268" s="1" t="n">
        <v>46103</v>
      </c>
      <c r="D268" t="inlineStr">
        <is>
          <t>DALARNAS LÄN</t>
        </is>
      </c>
      <c r="E268" t="inlineStr">
        <is>
          <t>GAGNEF</t>
        </is>
      </c>
      <c r="G268" t="n">
        <v>4</v>
      </c>
      <c r="H268" t="n">
        <v>0</v>
      </c>
      <c r="I268" t="n">
        <v>0</v>
      </c>
      <c r="J268" t="n">
        <v>0</v>
      </c>
      <c r="K268" t="n">
        <v>0</v>
      </c>
      <c r="L268" t="n">
        <v>0</v>
      </c>
      <c r="M268" t="n">
        <v>0</v>
      </c>
      <c r="N268" t="n">
        <v>0</v>
      </c>
      <c r="O268" t="n">
        <v>0</v>
      </c>
      <c r="P268" t="n">
        <v>0</v>
      </c>
      <c r="Q268" t="n">
        <v>0</v>
      </c>
      <c r="R268" s="2" t="inlineStr"/>
    </row>
    <row r="269" ht="15" customHeight="1">
      <c r="A269" t="inlineStr">
        <is>
          <t>A 15670-2024</t>
        </is>
      </c>
      <c r="B269" s="1" t="n">
        <v>45404.39177083333</v>
      </c>
      <c r="C269" s="1" t="n">
        <v>46103</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60885-2024</t>
        </is>
      </c>
      <c r="B270" s="1" t="n">
        <v>45644</v>
      </c>
      <c r="C270" s="1" t="n">
        <v>46103</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33034-2021</t>
        </is>
      </c>
      <c r="B271" s="1" t="n">
        <v>44376</v>
      </c>
      <c r="C271" s="1" t="n">
        <v>46103</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46103</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63203-2023</t>
        </is>
      </c>
      <c r="B273" s="1" t="n">
        <v>45273.60798611111</v>
      </c>
      <c r="C273" s="1" t="n">
        <v>46103</v>
      </c>
      <c r="D273" t="inlineStr">
        <is>
          <t>DALARNAS LÄN</t>
        </is>
      </c>
      <c r="E273" t="inlineStr">
        <is>
          <t>GAGNEF</t>
        </is>
      </c>
      <c r="G273" t="n">
        <v>3.2</v>
      </c>
      <c r="H273" t="n">
        <v>0</v>
      </c>
      <c r="I273" t="n">
        <v>0</v>
      </c>
      <c r="J273" t="n">
        <v>0</v>
      </c>
      <c r="K273" t="n">
        <v>0</v>
      </c>
      <c r="L273" t="n">
        <v>0</v>
      </c>
      <c r="M273" t="n">
        <v>0</v>
      </c>
      <c r="N273" t="n">
        <v>0</v>
      </c>
      <c r="O273" t="n">
        <v>0</v>
      </c>
      <c r="P273" t="n">
        <v>0</v>
      </c>
      <c r="Q273" t="n">
        <v>0</v>
      </c>
      <c r="R273" s="2" t="inlineStr"/>
    </row>
    <row r="274" ht="15" customHeight="1">
      <c r="A274" t="inlineStr">
        <is>
          <t>A 44336-2024</t>
        </is>
      </c>
      <c r="B274" s="1" t="n">
        <v>45573.61174768519</v>
      </c>
      <c r="C274" s="1" t="n">
        <v>46103</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30098-2025</t>
        </is>
      </c>
      <c r="B275" s="1" t="n">
        <v>45826.67533564815</v>
      </c>
      <c r="C275" s="1" t="n">
        <v>46103</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19033-2024</t>
        </is>
      </c>
      <c r="B276" s="1" t="n">
        <v>45427.6833449074</v>
      </c>
      <c r="C276" s="1" t="n">
        <v>46103</v>
      </c>
      <c r="D276" t="inlineStr">
        <is>
          <t>DALARNAS LÄN</t>
        </is>
      </c>
      <c r="E276" t="inlineStr">
        <is>
          <t>GAGNEF</t>
        </is>
      </c>
      <c r="G276" t="n">
        <v>7.2</v>
      </c>
      <c r="H276" t="n">
        <v>0</v>
      </c>
      <c r="I276" t="n">
        <v>0</v>
      </c>
      <c r="J276" t="n">
        <v>0</v>
      </c>
      <c r="K276" t="n">
        <v>0</v>
      </c>
      <c r="L276" t="n">
        <v>0</v>
      </c>
      <c r="M276" t="n">
        <v>0</v>
      </c>
      <c r="N276" t="n">
        <v>0</v>
      </c>
      <c r="O276" t="n">
        <v>0</v>
      </c>
      <c r="P276" t="n">
        <v>0</v>
      </c>
      <c r="Q276" t="n">
        <v>0</v>
      </c>
      <c r="R276" s="2" t="inlineStr"/>
    </row>
    <row r="277" ht="15" customHeight="1">
      <c r="A277" t="inlineStr">
        <is>
          <t>A 32848-2024</t>
        </is>
      </c>
      <c r="B277" s="1" t="n">
        <v>45516.63170138889</v>
      </c>
      <c r="C277" s="1" t="n">
        <v>46103</v>
      </c>
      <c r="D277" t="inlineStr">
        <is>
          <t>DALARNAS LÄN</t>
        </is>
      </c>
      <c r="E277" t="inlineStr">
        <is>
          <t>GAGNEF</t>
        </is>
      </c>
      <c r="F277" t="inlineStr">
        <is>
          <t>Bergvik skog väst AB</t>
        </is>
      </c>
      <c r="G277" t="n">
        <v>4.3</v>
      </c>
      <c r="H277" t="n">
        <v>0</v>
      </c>
      <c r="I277" t="n">
        <v>0</v>
      </c>
      <c r="J277" t="n">
        <v>0</v>
      </c>
      <c r="K277" t="n">
        <v>0</v>
      </c>
      <c r="L277" t="n">
        <v>0</v>
      </c>
      <c r="M277" t="n">
        <v>0</v>
      </c>
      <c r="N277" t="n">
        <v>0</v>
      </c>
      <c r="O277" t="n">
        <v>0</v>
      </c>
      <c r="P277" t="n">
        <v>0</v>
      </c>
      <c r="Q277" t="n">
        <v>0</v>
      </c>
      <c r="R277" s="2" t="inlineStr"/>
    </row>
    <row r="278" ht="15" customHeight="1">
      <c r="A278" t="inlineStr">
        <is>
          <t>A 48867-2024</t>
        </is>
      </c>
      <c r="B278" s="1" t="n">
        <v>45594.25377314815</v>
      </c>
      <c r="C278" s="1" t="n">
        <v>46103</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12816-2025</t>
        </is>
      </c>
      <c r="B279" s="1" t="n">
        <v>45733.62307870371</v>
      </c>
      <c r="C279" s="1" t="n">
        <v>46103</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44572-2024</t>
        </is>
      </c>
      <c r="B280" s="1" t="n">
        <v>45574</v>
      </c>
      <c r="C280" s="1" t="n">
        <v>46103</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33102-2025</t>
        </is>
      </c>
      <c r="B281" s="1" t="n">
        <v>45840</v>
      </c>
      <c r="C281" s="1" t="n">
        <v>46103</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33050-2025</t>
        </is>
      </c>
      <c r="B282" s="1" t="n">
        <v>45840</v>
      </c>
      <c r="C282" s="1" t="n">
        <v>46103</v>
      </c>
      <c r="D282" t="inlineStr">
        <is>
          <t>DALARNAS LÄN</t>
        </is>
      </c>
      <c r="E282" t="inlineStr">
        <is>
          <t>GAGNEF</t>
        </is>
      </c>
      <c r="G282" t="n">
        <v>2.5</v>
      </c>
      <c r="H282" t="n">
        <v>0</v>
      </c>
      <c r="I282" t="n">
        <v>0</v>
      </c>
      <c r="J282" t="n">
        <v>0</v>
      </c>
      <c r="K282" t="n">
        <v>0</v>
      </c>
      <c r="L282" t="n">
        <v>0</v>
      </c>
      <c r="M282" t="n">
        <v>0</v>
      </c>
      <c r="N282" t="n">
        <v>0</v>
      </c>
      <c r="O282" t="n">
        <v>0</v>
      </c>
      <c r="P282" t="n">
        <v>0</v>
      </c>
      <c r="Q282" t="n">
        <v>0</v>
      </c>
      <c r="R282" s="2" t="inlineStr"/>
    </row>
    <row r="283" ht="15" customHeight="1">
      <c r="A283" t="inlineStr">
        <is>
          <t>A 34084-2025</t>
        </is>
      </c>
      <c r="B283" s="1" t="n">
        <v>45845</v>
      </c>
      <c r="C283" s="1" t="n">
        <v>46103</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45596-2023</t>
        </is>
      </c>
      <c r="B284" s="1" t="n">
        <v>45194.64077546296</v>
      </c>
      <c r="C284" s="1" t="n">
        <v>46103</v>
      </c>
      <c r="D284" t="inlineStr">
        <is>
          <t>DALARNAS LÄN</t>
        </is>
      </c>
      <c r="E284" t="inlineStr">
        <is>
          <t>GAGNEF</t>
        </is>
      </c>
      <c r="G284" t="n">
        <v>4.7</v>
      </c>
      <c r="H284" t="n">
        <v>0</v>
      </c>
      <c r="I284" t="n">
        <v>0</v>
      </c>
      <c r="J284" t="n">
        <v>0</v>
      </c>
      <c r="K284" t="n">
        <v>0</v>
      </c>
      <c r="L284" t="n">
        <v>0</v>
      </c>
      <c r="M284" t="n">
        <v>0</v>
      </c>
      <c r="N284" t="n">
        <v>0</v>
      </c>
      <c r="O284" t="n">
        <v>0</v>
      </c>
      <c r="P284" t="n">
        <v>0</v>
      </c>
      <c r="Q284" t="n">
        <v>0</v>
      </c>
      <c r="R284" s="2" t="inlineStr"/>
    </row>
    <row r="285" ht="15" customHeight="1">
      <c r="A285" t="inlineStr">
        <is>
          <t>A 57729-2022</t>
        </is>
      </c>
      <c r="B285" s="1" t="n">
        <v>44897</v>
      </c>
      <c r="C285" s="1" t="n">
        <v>46103</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34313-2025</t>
        </is>
      </c>
      <c r="B286" s="1" t="n">
        <v>45846.39778935185</v>
      </c>
      <c r="C286" s="1" t="n">
        <v>46103</v>
      </c>
      <c r="D286" t="inlineStr">
        <is>
          <t>DALARNAS LÄN</t>
        </is>
      </c>
      <c r="E286" t="inlineStr">
        <is>
          <t>GAGNEF</t>
        </is>
      </c>
      <c r="G286" t="n">
        <v>3.1</v>
      </c>
      <c r="H286" t="n">
        <v>0</v>
      </c>
      <c r="I286" t="n">
        <v>0</v>
      </c>
      <c r="J286" t="n">
        <v>0</v>
      </c>
      <c r="K286" t="n">
        <v>0</v>
      </c>
      <c r="L286" t="n">
        <v>0</v>
      </c>
      <c r="M286" t="n">
        <v>0</v>
      </c>
      <c r="N286" t="n">
        <v>0</v>
      </c>
      <c r="O286" t="n">
        <v>0</v>
      </c>
      <c r="P286" t="n">
        <v>0</v>
      </c>
      <c r="Q286" t="n">
        <v>0</v>
      </c>
      <c r="R286" s="2" t="inlineStr"/>
    </row>
    <row r="287" ht="15" customHeight="1">
      <c r="A287" t="inlineStr">
        <is>
          <t>A 34424-2025</t>
        </is>
      </c>
      <c r="B287" s="1" t="n">
        <v>45846.66884259259</v>
      </c>
      <c r="C287" s="1" t="n">
        <v>46103</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34429-2025</t>
        </is>
      </c>
      <c r="B288" s="1" t="n">
        <v>45846.67357638889</v>
      </c>
      <c r="C288" s="1" t="n">
        <v>46103</v>
      </c>
      <c r="D288" t="inlineStr">
        <is>
          <t>DALARNAS LÄN</t>
        </is>
      </c>
      <c r="E288" t="inlineStr">
        <is>
          <t>GAGNEF</t>
        </is>
      </c>
      <c r="G288" t="n">
        <v>2.3</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46103</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38444-2024</t>
        </is>
      </c>
      <c r="B290" s="1" t="n">
        <v>45546.42988425926</v>
      </c>
      <c r="C290" s="1" t="n">
        <v>46103</v>
      </c>
      <c r="D290" t="inlineStr">
        <is>
          <t>DALARNAS LÄN</t>
        </is>
      </c>
      <c r="E290" t="inlineStr">
        <is>
          <t>GAGNEF</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34421-2025</t>
        </is>
      </c>
      <c r="B291" s="1" t="n">
        <v>45846.66545138889</v>
      </c>
      <c r="C291" s="1" t="n">
        <v>46103</v>
      </c>
      <c r="D291" t="inlineStr">
        <is>
          <t>DALARNAS LÄN</t>
        </is>
      </c>
      <c r="E291" t="inlineStr">
        <is>
          <t>GAGNEF</t>
        </is>
      </c>
      <c r="G291" t="n">
        <v>2.6</v>
      </c>
      <c r="H291" t="n">
        <v>0</v>
      </c>
      <c r="I291" t="n">
        <v>0</v>
      </c>
      <c r="J291" t="n">
        <v>0</v>
      </c>
      <c r="K291" t="n">
        <v>0</v>
      </c>
      <c r="L291" t="n">
        <v>0</v>
      </c>
      <c r="M291" t="n">
        <v>0</v>
      </c>
      <c r="N291" t="n">
        <v>0</v>
      </c>
      <c r="O291" t="n">
        <v>0</v>
      </c>
      <c r="P291" t="n">
        <v>0</v>
      </c>
      <c r="Q291" t="n">
        <v>0</v>
      </c>
      <c r="R291" s="2" t="inlineStr"/>
    </row>
    <row r="292" ht="15" customHeight="1">
      <c r="A292" t="inlineStr">
        <is>
          <t>A 34436-2025</t>
        </is>
      </c>
      <c r="B292" s="1" t="n">
        <v>45846.68407407407</v>
      </c>
      <c r="C292" s="1" t="n">
        <v>46103</v>
      </c>
      <c r="D292" t="inlineStr">
        <is>
          <t>DALARNAS LÄN</t>
        </is>
      </c>
      <c r="E292" t="inlineStr">
        <is>
          <t>GAGNEF</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60021-2023</t>
        </is>
      </c>
      <c r="B293" s="1" t="n">
        <v>45258</v>
      </c>
      <c r="C293" s="1" t="n">
        <v>46103</v>
      </c>
      <c r="D293" t="inlineStr">
        <is>
          <t>DALARNAS LÄN</t>
        </is>
      </c>
      <c r="E293" t="inlineStr">
        <is>
          <t>GAGNEF</t>
        </is>
      </c>
      <c r="G293" t="n">
        <v>1.2</v>
      </c>
      <c r="H293" t="n">
        <v>0</v>
      </c>
      <c r="I293" t="n">
        <v>0</v>
      </c>
      <c r="J293" t="n">
        <v>0</v>
      </c>
      <c r="K293" t="n">
        <v>0</v>
      </c>
      <c r="L293" t="n">
        <v>0</v>
      </c>
      <c r="M293" t="n">
        <v>0</v>
      </c>
      <c r="N293" t="n">
        <v>0</v>
      </c>
      <c r="O293" t="n">
        <v>0</v>
      </c>
      <c r="P293" t="n">
        <v>0</v>
      </c>
      <c r="Q293" t="n">
        <v>0</v>
      </c>
      <c r="R293" s="2" t="inlineStr"/>
    </row>
    <row r="294" ht="15" customHeight="1">
      <c r="A294" t="inlineStr">
        <is>
          <t>A 34943-2025</t>
        </is>
      </c>
      <c r="B294" s="1" t="n">
        <v>45849</v>
      </c>
      <c r="C294" s="1" t="n">
        <v>46103</v>
      </c>
      <c r="D294" t="inlineStr">
        <is>
          <t>DALARNAS LÄN</t>
        </is>
      </c>
      <c r="E294" t="inlineStr">
        <is>
          <t>GAGNEF</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34793-2025</t>
        </is>
      </c>
      <c r="B295" s="1" t="n">
        <v>45848.73045138889</v>
      </c>
      <c r="C295" s="1" t="n">
        <v>46103</v>
      </c>
      <c r="D295" t="inlineStr">
        <is>
          <t>DALARNAS LÄN</t>
        </is>
      </c>
      <c r="E295" t="inlineStr">
        <is>
          <t>GAGNEF</t>
        </is>
      </c>
      <c r="G295" t="n">
        <v>1.5</v>
      </c>
      <c r="H295" t="n">
        <v>0</v>
      </c>
      <c r="I295" t="n">
        <v>0</v>
      </c>
      <c r="J295" t="n">
        <v>0</v>
      </c>
      <c r="K295" t="n">
        <v>0</v>
      </c>
      <c r="L295" t="n">
        <v>0</v>
      </c>
      <c r="M295" t="n">
        <v>0</v>
      </c>
      <c r="N295" t="n">
        <v>0</v>
      </c>
      <c r="O295" t="n">
        <v>0</v>
      </c>
      <c r="P295" t="n">
        <v>0</v>
      </c>
      <c r="Q295" t="n">
        <v>0</v>
      </c>
      <c r="R295" s="2" t="inlineStr"/>
    </row>
    <row r="296" ht="15" customHeight="1">
      <c r="A296" t="inlineStr">
        <is>
          <t>A 17322-2024</t>
        </is>
      </c>
      <c r="B296" s="1" t="n">
        <v>45414.54059027778</v>
      </c>
      <c r="C296" s="1" t="n">
        <v>46103</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60308-2024</t>
        </is>
      </c>
      <c r="B297" s="1" t="n">
        <v>45643.34236111111</v>
      </c>
      <c r="C297" s="1" t="n">
        <v>46103</v>
      </c>
      <c r="D297" t="inlineStr">
        <is>
          <t>DALARNAS LÄN</t>
        </is>
      </c>
      <c r="E297" t="inlineStr">
        <is>
          <t>GAGNEF</t>
        </is>
      </c>
      <c r="G297" t="n">
        <v>2.7</v>
      </c>
      <c r="H297" t="n">
        <v>0</v>
      </c>
      <c r="I297" t="n">
        <v>0</v>
      </c>
      <c r="J297" t="n">
        <v>0</v>
      </c>
      <c r="K297" t="n">
        <v>0</v>
      </c>
      <c r="L297" t="n">
        <v>0</v>
      </c>
      <c r="M297" t="n">
        <v>0</v>
      </c>
      <c r="N297" t="n">
        <v>0</v>
      </c>
      <c r="O297" t="n">
        <v>0</v>
      </c>
      <c r="P297" t="n">
        <v>0</v>
      </c>
      <c r="Q297" t="n">
        <v>0</v>
      </c>
      <c r="R297" s="2" t="inlineStr"/>
    </row>
    <row r="298" ht="15" customHeight="1">
      <c r="A298" t="inlineStr">
        <is>
          <t>A 2173-2024</t>
        </is>
      </c>
      <c r="B298" s="1" t="n">
        <v>45309.63329861111</v>
      </c>
      <c r="C298" s="1" t="n">
        <v>46103</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10744-2022</t>
        </is>
      </c>
      <c r="B299" s="1" t="n">
        <v>44627</v>
      </c>
      <c r="C299" s="1" t="n">
        <v>46103</v>
      </c>
      <c r="D299" t="inlineStr">
        <is>
          <t>DALARNAS LÄN</t>
        </is>
      </c>
      <c r="E299" t="inlineStr">
        <is>
          <t>GAGNEF</t>
        </is>
      </c>
      <c r="G299" t="n">
        <v>5.8</v>
      </c>
      <c r="H299" t="n">
        <v>0</v>
      </c>
      <c r="I299" t="n">
        <v>0</v>
      </c>
      <c r="J299" t="n">
        <v>0</v>
      </c>
      <c r="K299" t="n">
        <v>0</v>
      </c>
      <c r="L299" t="n">
        <v>0</v>
      </c>
      <c r="M299" t="n">
        <v>0</v>
      </c>
      <c r="N299" t="n">
        <v>0</v>
      </c>
      <c r="O299" t="n">
        <v>0</v>
      </c>
      <c r="P299" t="n">
        <v>0</v>
      </c>
      <c r="Q299" t="n">
        <v>0</v>
      </c>
      <c r="R299" s="2" t="inlineStr"/>
    </row>
    <row r="300" ht="15" customHeight="1">
      <c r="A300" t="inlineStr">
        <is>
          <t>A 60652-2023</t>
        </is>
      </c>
      <c r="B300" s="1" t="n">
        <v>45260</v>
      </c>
      <c r="C300" s="1" t="n">
        <v>46103</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63952-2021</t>
        </is>
      </c>
      <c r="B301" s="1" t="n">
        <v>44509.76625</v>
      </c>
      <c r="C301" s="1" t="n">
        <v>46103</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36244-2025</t>
        </is>
      </c>
      <c r="B302" s="1" t="n">
        <v>45867.55569444445</v>
      </c>
      <c r="C302" s="1" t="n">
        <v>46103</v>
      </c>
      <c r="D302" t="inlineStr">
        <is>
          <t>DALARNAS LÄN</t>
        </is>
      </c>
      <c r="E302" t="inlineStr">
        <is>
          <t>GAGNEF</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36232-2025</t>
        </is>
      </c>
      <c r="B303" s="1" t="n">
        <v>45867.54686342592</v>
      </c>
      <c r="C303" s="1" t="n">
        <v>46103</v>
      </c>
      <c r="D303" t="inlineStr">
        <is>
          <t>DALARNAS LÄN</t>
        </is>
      </c>
      <c r="E303" t="inlineStr">
        <is>
          <t>GAGNEF</t>
        </is>
      </c>
      <c r="G303" t="n">
        <v>3.9</v>
      </c>
      <c r="H303" t="n">
        <v>0</v>
      </c>
      <c r="I303" t="n">
        <v>0</v>
      </c>
      <c r="J303" t="n">
        <v>0</v>
      </c>
      <c r="K303" t="n">
        <v>0</v>
      </c>
      <c r="L303" t="n">
        <v>0</v>
      </c>
      <c r="M303" t="n">
        <v>0</v>
      </c>
      <c r="N303" t="n">
        <v>0</v>
      </c>
      <c r="O303" t="n">
        <v>0</v>
      </c>
      <c r="P303" t="n">
        <v>0</v>
      </c>
      <c r="Q303" t="n">
        <v>0</v>
      </c>
      <c r="R303" s="2" t="inlineStr"/>
    </row>
    <row r="304" ht="15" customHeight="1">
      <c r="A304" t="inlineStr">
        <is>
          <t>A 2443-2024</t>
        </is>
      </c>
      <c r="B304" s="1" t="n">
        <v>45311</v>
      </c>
      <c r="C304" s="1" t="n">
        <v>46103</v>
      </c>
      <c r="D304" t="inlineStr">
        <is>
          <t>DALARNAS LÄN</t>
        </is>
      </c>
      <c r="E304" t="inlineStr">
        <is>
          <t>GAGNEF</t>
        </is>
      </c>
      <c r="G304" t="n">
        <v>1.4</v>
      </c>
      <c r="H304" t="n">
        <v>0</v>
      </c>
      <c r="I304" t="n">
        <v>0</v>
      </c>
      <c r="J304" t="n">
        <v>0</v>
      </c>
      <c r="K304" t="n">
        <v>0</v>
      </c>
      <c r="L304" t="n">
        <v>0</v>
      </c>
      <c r="M304" t="n">
        <v>0</v>
      </c>
      <c r="N304" t="n">
        <v>0</v>
      </c>
      <c r="O304" t="n">
        <v>0</v>
      </c>
      <c r="P304" t="n">
        <v>0</v>
      </c>
      <c r="Q304" t="n">
        <v>0</v>
      </c>
      <c r="R304" s="2" t="inlineStr"/>
    </row>
    <row r="305" ht="15" customHeight="1">
      <c r="A305" t="inlineStr">
        <is>
          <t>A 68330-2021</t>
        </is>
      </c>
      <c r="B305" s="1" t="n">
        <v>44527</v>
      </c>
      <c r="C305" s="1" t="n">
        <v>46103</v>
      </c>
      <c r="D305" t="inlineStr">
        <is>
          <t>DALARNAS LÄN</t>
        </is>
      </c>
      <c r="E305" t="inlineStr">
        <is>
          <t>GAGNEF</t>
        </is>
      </c>
      <c r="G305" t="n">
        <v>4.1</v>
      </c>
      <c r="H305" t="n">
        <v>0</v>
      </c>
      <c r="I305" t="n">
        <v>0</v>
      </c>
      <c r="J305" t="n">
        <v>0</v>
      </c>
      <c r="K305" t="n">
        <v>0</v>
      </c>
      <c r="L305" t="n">
        <v>0</v>
      </c>
      <c r="M305" t="n">
        <v>0</v>
      </c>
      <c r="N305" t="n">
        <v>0</v>
      </c>
      <c r="O305" t="n">
        <v>0</v>
      </c>
      <c r="P305" t="n">
        <v>0</v>
      </c>
      <c r="Q305" t="n">
        <v>0</v>
      </c>
      <c r="R305" s="2" t="inlineStr"/>
    </row>
    <row r="306" ht="15" customHeight="1">
      <c r="A306" t="inlineStr">
        <is>
          <t>A 19954-2025</t>
        </is>
      </c>
      <c r="B306" s="1" t="n">
        <v>45771.65960648148</v>
      </c>
      <c r="C306" s="1" t="n">
        <v>46103</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18412-2024</t>
        </is>
      </c>
      <c r="B307" s="1" t="n">
        <v>45425.37940972222</v>
      </c>
      <c r="C307" s="1" t="n">
        <v>46103</v>
      </c>
      <c r="D307" t="inlineStr">
        <is>
          <t>DALARNAS LÄN</t>
        </is>
      </c>
      <c r="E307" t="inlineStr">
        <is>
          <t>GAGNEF</t>
        </is>
      </c>
      <c r="G307" t="n">
        <v>2.9</v>
      </c>
      <c r="H307" t="n">
        <v>0</v>
      </c>
      <c r="I307" t="n">
        <v>0</v>
      </c>
      <c r="J307" t="n">
        <v>0</v>
      </c>
      <c r="K307" t="n">
        <v>0</v>
      </c>
      <c r="L307" t="n">
        <v>0</v>
      </c>
      <c r="M307" t="n">
        <v>0</v>
      </c>
      <c r="N307" t="n">
        <v>0</v>
      </c>
      <c r="O307" t="n">
        <v>0</v>
      </c>
      <c r="P307" t="n">
        <v>0</v>
      </c>
      <c r="Q307" t="n">
        <v>0</v>
      </c>
      <c r="R307" s="2" t="inlineStr"/>
    </row>
    <row r="308" ht="15" customHeight="1">
      <c r="A308" t="inlineStr">
        <is>
          <t>A 37870-2022</t>
        </is>
      </c>
      <c r="B308" s="1" t="n">
        <v>44811.36627314815</v>
      </c>
      <c r="C308" s="1" t="n">
        <v>46103</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38723-2025</t>
        </is>
      </c>
      <c r="B309" s="1" t="n">
        <v>45886</v>
      </c>
      <c r="C309" s="1" t="n">
        <v>46103</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42308-2021</t>
        </is>
      </c>
      <c r="B310" s="1" t="n">
        <v>44427</v>
      </c>
      <c r="C310" s="1" t="n">
        <v>46103</v>
      </c>
      <c r="D310" t="inlineStr">
        <is>
          <t>DALARNAS LÄN</t>
        </is>
      </c>
      <c r="E310" t="inlineStr">
        <is>
          <t>GAGNEF</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36802-2025</t>
        </is>
      </c>
      <c r="B311" s="1" t="n">
        <v>45873.67197916667</v>
      </c>
      <c r="C311" s="1" t="n">
        <v>46103</v>
      </c>
      <c r="D311" t="inlineStr">
        <is>
          <t>DALARNAS LÄN</t>
        </is>
      </c>
      <c r="E311" t="inlineStr">
        <is>
          <t>GAGNEF</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42677-2024</t>
        </is>
      </c>
      <c r="B312" s="1" t="n">
        <v>45566.37476851852</v>
      </c>
      <c r="C312" s="1" t="n">
        <v>46103</v>
      </c>
      <c r="D312" t="inlineStr">
        <is>
          <t>DALARNAS LÄN</t>
        </is>
      </c>
      <c r="E312" t="inlineStr">
        <is>
          <t>GAGNEF</t>
        </is>
      </c>
      <c r="G312" t="n">
        <v>0.9</v>
      </c>
      <c r="H312" t="n">
        <v>0</v>
      </c>
      <c r="I312" t="n">
        <v>0</v>
      </c>
      <c r="J312" t="n">
        <v>0</v>
      </c>
      <c r="K312" t="n">
        <v>0</v>
      </c>
      <c r="L312" t="n">
        <v>0</v>
      </c>
      <c r="M312" t="n">
        <v>0</v>
      </c>
      <c r="N312" t="n">
        <v>0</v>
      </c>
      <c r="O312" t="n">
        <v>0</v>
      </c>
      <c r="P312" t="n">
        <v>0</v>
      </c>
      <c r="Q312" t="n">
        <v>0</v>
      </c>
      <c r="R312" s="2" t="inlineStr"/>
    </row>
    <row r="313" ht="15" customHeight="1">
      <c r="A313" t="inlineStr">
        <is>
          <t>A 36800-2025</t>
        </is>
      </c>
      <c r="B313" s="1" t="n">
        <v>45873</v>
      </c>
      <c r="C313" s="1" t="n">
        <v>46103</v>
      </c>
      <c r="D313" t="inlineStr">
        <is>
          <t>DALARNAS LÄN</t>
        </is>
      </c>
      <c r="E313" t="inlineStr">
        <is>
          <t>GAGNEF</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39367-2023</t>
        </is>
      </c>
      <c r="B314" s="1" t="n">
        <v>45166</v>
      </c>
      <c r="C314" s="1" t="n">
        <v>46103</v>
      </c>
      <c r="D314" t="inlineStr">
        <is>
          <t>DALARNAS LÄN</t>
        </is>
      </c>
      <c r="E314" t="inlineStr">
        <is>
          <t>GAGNEF</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7344-2024</t>
        </is>
      </c>
      <c r="B315" s="1" t="n">
        <v>45345.45414351852</v>
      </c>
      <c r="C315" s="1" t="n">
        <v>46103</v>
      </c>
      <c r="D315" t="inlineStr">
        <is>
          <t>DALARNAS LÄN</t>
        </is>
      </c>
      <c r="E315" t="inlineStr">
        <is>
          <t>GAGNEF</t>
        </is>
      </c>
      <c r="G315" t="n">
        <v>2.3</v>
      </c>
      <c r="H315" t="n">
        <v>0</v>
      </c>
      <c r="I315" t="n">
        <v>0</v>
      </c>
      <c r="J315" t="n">
        <v>0</v>
      </c>
      <c r="K315" t="n">
        <v>0</v>
      </c>
      <c r="L315" t="n">
        <v>0</v>
      </c>
      <c r="M315" t="n">
        <v>0</v>
      </c>
      <c r="N315" t="n">
        <v>0</v>
      </c>
      <c r="O315" t="n">
        <v>0</v>
      </c>
      <c r="P315" t="n">
        <v>0</v>
      </c>
      <c r="Q315" t="n">
        <v>0</v>
      </c>
      <c r="R315" s="2" t="inlineStr"/>
    </row>
    <row r="316" ht="15" customHeight="1">
      <c r="A316" t="inlineStr">
        <is>
          <t>A 36562-2025</t>
        </is>
      </c>
      <c r="B316" s="1" t="n">
        <v>45870</v>
      </c>
      <c r="C316" s="1" t="n">
        <v>46103</v>
      </c>
      <c r="D316" t="inlineStr">
        <is>
          <t>DALARNAS LÄN</t>
        </is>
      </c>
      <c r="E316" t="inlineStr">
        <is>
          <t>GAGNEF</t>
        </is>
      </c>
      <c r="F316" t="inlineStr">
        <is>
          <t>Bergvik skog väst AB</t>
        </is>
      </c>
      <c r="G316" t="n">
        <v>3.8</v>
      </c>
      <c r="H316" t="n">
        <v>0</v>
      </c>
      <c r="I316" t="n">
        <v>0</v>
      </c>
      <c r="J316" t="n">
        <v>0</v>
      </c>
      <c r="K316" t="n">
        <v>0</v>
      </c>
      <c r="L316" t="n">
        <v>0</v>
      </c>
      <c r="M316" t="n">
        <v>0</v>
      </c>
      <c r="N316" t="n">
        <v>0</v>
      </c>
      <c r="O316" t="n">
        <v>0</v>
      </c>
      <c r="P316" t="n">
        <v>0</v>
      </c>
      <c r="Q316" t="n">
        <v>0</v>
      </c>
      <c r="R316" s="2" t="inlineStr"/>
    </row>
    <row r="317" ht="15" customHeight="1">
      <c r="A317" t="inlineStr">
        <is>
          <t>A 63648-2023</t>
        </is>
      </c>
      <c r="B317" s="1" t="n">
        <v>45275</v>
      </c>
      <c r="C317" s="1" t="n">
        <v>46103</v>
      </c>
      <c r="D317" t="inlineStr">
        <is>
          <t>DALARNAS LÄN</t>
        </is>
      </c>
      <c r="E317" t="inlineStr">
        <is>
          <t>GAGNEF</t>
        </is>
      </c>
      <c r="G317" t="n">
        <v>0.3</v>
      </c>
      <c r="H317" t="n">
        <v>0</v>
      </c>
      <c r="I317" t="n">
        <v>0</v>
      </c>
      <c r="J317" t="n">
        <v>0</v>
      </c>
      <c r="K317" t="n">
        <v>0</v>
      </c>
      <c r="L317" t="n">
        <v>0</v>
      </c>
      <c r="M317" t="n">
        <v>0</v>
      </c>
      <c r="N317" t="n">
        <v>0</v>
      </c>
      <c r="O317" t="n">
        <v>0</v>
      </c>
      <c r="P317" t="n">
        <v>0</v>
      </c>
      <c r="Q317" t="n">
        <v>0</v>
      </c>
      <c r="R317" s="2" t="inlineStr"/>
    </row>
    <row r="318" ht="15" customHeight="1">
      <c r="A318" t="inlineStr">
        <is>
          <t>A 52437-2024</t>
        </is>
      </c>
      <c r="B318" s="1" t="n">
        <v>45608</v>
      </c>
      <c r="C318" s="1" t="n">
        <v>46103</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35526-2024</t>
        </is>
      </c>
      <c r="B319" s="1" t="n">
        <v>45531.58143518519</v>
      </c>
      <c r="C319" s="1" t="n">
        <v>46103</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18956-2025</t>
        </is>
      </c>
      <c r="B320" s="1" t="n">
        <v>45764.51827546296</v>
      </c>
      <c r="C320" s="1" t="n">
        <v>46103</v>
      </c>
      <c r="D320" t="inlineStr">
        <is>
          <t>DALARNAS LÄN</t>
        </is>
      </c>
      <c r="E320" t="inlineStr">
        <is>
          <t>GAGNEF</t>
        </is>
      </c>
      <c r="G320" t="n">
        <v>1.4</v>
      </c>
      <c r="H320" t="n">
        <v>0</v>
      </c>
      <c r="I320" t="n">
        <v>0</v>
      </c>
      <c r="J320" t="n">
        <v>0</v>
      </c>
      <c r="K320" t="n">
        <v>0</v>
      </c>
      <c r="L320" t="n">
        <v>0</v>
      </c>
      <c r="M320" t="n">
        <v>0</v>
      </c>
      <c r="N320" t="n">
        <v>0</v>
      </c>
      <c r="O320" t="n">
        <v>0</v>
      </c>
      <c r="P320" t="n">
        <v>0</v>
      </c>
      <c r="Q320" t="n">
        <v>0</v>
      </c>
      <c r="R320" s="2" t="inlineStr"/>
    </row>
    <row r="321" ht="15" customHeight="1">
      <c r="A321" t="inlineStr">
        <is>
          <t>A 16066-2025</t>
        </is>
      </c>
      <c r="B321" s="1" t="n">
        <v>45749.66427083333</v>
      </c>
      <c r="C321" s="1" t="n">
        <v>46103</v>
      </c>
      <c r="D321" t="inlineStr">
        <is>
          <t>DALARNAS LÄN</t>
        </is>
      </c>
      <c r="E321" t="inlineStr">
        <is>
          <t>GAGNEF</t>
        </is>
      </c>
      <c r="G321" t="n">
        <v>6.7</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46103</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30672-2024</t>
        </is>
      </c>
      <c r="B323" s="1" t="n">
        <v>45495.81412037037</v>
      </c>
      <c r="C323" s="1" t="n">
        <v>46103</v>
      </c>
      <c r="D323" t="inlineStr">
        <is>
          <t>DALARNAS LÄN</t>
        </is>
      </c>
      <c r="E323" t="inlineStr">
        <is>
          <t>GAGNEF</t>
        </is>
      </c>
      <c r="G323" t="n">
        <v>4.3</v>
      </c>
      <c r="H323" t="n">
        <v>0</v>
      </c>
      <c r="I323" t="n">
        <v>0</v>
      </c>
      <c r="J323" t="n">
        <v>0</v>
      </c>
      <c r="K323" t="n">
        <v>0</v>
      </c>
      <c r="L323" t="n">
        <v>0</v>
      </c>
      <c r="M323" t="n">
        <v>0</v>
      </c>
      <c r="N323" t="n">
        <v>0</v>
      </c>
      <c r="O323" t="n">
        <v>0</v>
      </c>
      <c r="P323" t="n">
        <v>0</v>
      </c>
      <c r="Q323" t="n">
        <v>0</v>
      </c>
      <c r="R323" s="2" t="inlineStr"/>
    </row>
    <row r="324" ht="15" customHeight="1">
      <c r="A324" t="inlineStr">
        <is>
          <t>A 36891-2024</t>
        </is>
      </c>
      <c r="B324" s="1" t="n">
        <v>45538.61</v>
      </c>
      <c r="C324" s="1" t="n">
        <v>46103</v>
      </c>
      <c r="D324" t="inlineStr">
        <is>
          <t>DALARNAS LÄN</t>
        </is>
      </c>
      <c r="E324" t="inlineStr">
        <is>
          <t>GAGNEF</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326-2024</t>
        </is>
      </c>
      <c r="B325" s="1" t="n">
        <v>45295</v>
      </c>
      <c r="C325" s="1" t="n">
        <v>46103</v>
      </c>
      <c r="D325" t="inlineStr">
        <is>
          <t>DALARNAS LÄN</t>
        </is>
      </c>
      <c r="E325" t="inlineStr">
        <is>
          <t>GAGNEF</t>
        </is>
      </c>
      <c r="G325" t="n">
        <v>9.4</v>
      </c>
      <c r="H325" t="n">
        <v>0</v>
      </c>
      <c r="I325" t="n">
        <v>0</v>
      </c>
      <c r="J325" t="n">
        <v>0</v>
      </c>
      <c r="K325" t="n">
        <v>0</v>
      </c>
      <c r="L325" t="n">
        <v>0</v>
      </c>
      <c r="M325" t="n">
        <v>0</v>
      </c>
      <c r="N325" t="n">
        <v>0</v>
      </c>
      <c r="O325" t="n">
        <v>0</v>
      </c>
      <c r="P325" t="n">
        <v>0</v>
      </c>
      <c r="Q325" t="n">
        <v>0</v>
      </c>
      <c r="R325" s="2" t="inlineStr"/>
    </row>
    <row r="326" ht="15" customHeight="1">
      <c r="A326" t="inlineStr">
        <is>
          <t>A 57134-2022</t>
        </is>
      </c>
      <c r="B326" s="1" t="n">
        <v>44895</v>
      </c>
      <c r="C326" s="1" t="n">
        <v>46103</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46103</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52426-2024</t>
        </is>
      </c>
      <c r="B328" s="1" t="n">
        <v>45608</v>
      </c>
      <c r="C328" s="1" t="n">
        <v>46103</v>
      </c>
      <c r="D328" t="inlineStr">
        <is>
          <t>DALARNAS LÄN</t>
        </is>
      </c>
      <c r="E328" t="inlineStr">
        <is>
          <t>GAGNEF</t>
        </is>
      </c>
      <c r="G328" t="n">
        <v>2</v>
      </c>
      <c r="H328" t="n">
        <v>0</v>
      </c>
      <c r="I328" t="n">
        <v>0</v>
      </c>
      <c r="J328" t="n">
        <v>0</v>
      </c>
      <c r="K328" t="n">
        <v>0</v>
      </c>
      <c r="L328" t="n">
        <v>0</v>
      </c>
      <c r="M328" t="n">
        <v>0</v>
      </c>
      <c r="N328" t="n">
        <v>0</v>
      </c>
      <c r="O328" t="n">
        <v>0</v>
      </c>
      <c r="P328" t="n">
        <v>0</v>
      </c>
      <c r="Q328" t="n">
        <v>0</v>
      </c>
      <c r="R328" s="2" t="inlineStr"/>
    </row>
    <row r="329" ht="15" customHeight="1">
      <c r="A329" t="inlineStr">
        <is>
          <t>A 19046-2025</t>
        </is>
      </c>
      <c r="B329" s="1" t="n">
        <v>45764.76855324074</v>
      </c>
      <c r="C329" s="1" t="n">
        <v>46103</v>
      </c>
      <c r="D329" t="inlineStr">
        <is>
          <t>DALARNAS LÄN</t>
        </is>
      </c>
      <c r="E329" t="inlineStr">
        <is>
          <t>GAGNEF</t>
        </is>
      </c>
      <c r="G329" t="n">
        <v>20.4</v>
      </c>
      <c r="H329" t="n">
        <v>0</v>
      </c>
      <c r="I329" t="n">
        <v>0</v>
      </c>
      <c r="J329" t="n">
        <v>0</v>
      </c>
      <c r="K329" t="n">
        <v>0</v>
      </c>
      <c r="L329" t="n">
        <v>0</v>
      </c>
      <c r="M329" t="n">
        <v>0</v>
      </c>
      <c r="N329" t="n">
        <v>0</v>
      </c>
      <c r="O329" t="n">
        <v>0</v>
      </c>
      <c r="P329" t="n">
        <v>0</v>
      </c>
      <c r="Q329" t="n">
        <v>0</v>
      </c>
      <c r="R329" s="2" t="inlineStr"/>
    </row>
    <row r="330" ht="15" customHeight="1">
      <c r="A330" t="inlineStr">
        <is>
          <t>A 23489-2024</t>
        </is>
      </c>
      <c r="B330" s="1" t="n">
        <v>45453.68108796296</v>
      </c>
      <c r="C330" s="1" t="n">
        <v>46103</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2505-2024</t>
        </is>
      </c>
      <c r="B331" s="1" t="n">
        <v>45313</v>
      </c>
      <c r="C331" s="1" t="n">
        <v>46103</v>
      </c>
      <c r="D331" t="inlineStr">
        <is>
          <t>DALARNAS LÄN</t>
        </is>
      </c>
      <c r="E331" t="inlineStr">
        <is>
          <t>GAGNEF</t>
        </is>
      </c>
      <c r="G331" t="n">
        <v>5.1</v>
      </c>
      <c r="H331" t="n">
        <v>0</v>
      </c>
      <c r="I331" t="n">
        <v>0</v>
      </c>
      <c r="J331" t="n">
        <v>0</v>
      </c>
      <c r="K331" t="n">
        <v>0</v>
      </c>
      <c r="L331" t="n">
        <v>0</v>
      </c>
      <c r="M331" t="n">
        <v>0</v>
      </c>
      <c r="N331" t="n">
        <v>0</v>
      </c>
      <c r="O331" t="n">
        <v>0</v>
      </c>
      <c r="P331" t="n">
        <v>0</v>
      </c>
      <c r="Q331" t="n">
        <v>0</v>
      </c>
      <c r="R331" s="2" t="inlineStr"/>
    </row>
    <row r="332" ht="15" customHeight="1">
      <c r="A332" t="inlineStr">
        <is>
          <t>A 44040-2024</t>
        </is>
      </c>
      <c r="B332" s="1" t="n">
        <v>45572.58497685185</v>
      </c>
      <c r="C332" s="1" t="n">
        <v>46103</v>
      </c>
      <c r="D332" t="inlineStr">
        <is>
          <t>DALARNAS LÄN</t>
        </is>
      </c>
      <c r="E332" t="inlineStr">
        <is>
          <t>GAGNEF</t>
        </is>
      </c>
      <c r="G332" t="n">
        <v>5.1</v>
      </c>
      <c r="H332" t="n">
        <v>0</v>
      </c>
      <c r="I332" t="n">
        <v>0</v>
      </c>
      <c r="J332" t="n">
        <v>0</v>
      </c>
      <c r="K332" t="n">
        <v>0</v>
      </c>
      <c r="L332" t="n">
        <v>0</v>
      </c>
      <c r="M332" t="n">
        <v>0</v>
      </c>
      <c r="N332" t="n">
        <v>0</v>
      </c>
      <c r="O332" t="n">
        <v>0</v>
      </c>
      <c r="P332" t="n">
        <v>0</v>
      </c>
      <c r="Q332" t="n">
        <v>0</v>
      </c>
      <c r="R332" s="2" t="inlineStr"/>
    </row>
    <row r="333" ht="15" customHeight="1">
      <c r="A333" t="inlineStr">
        <is>
          <t>A 45521-2024</t>
        </is>
      </c>
      <c r="B333" s="1" t="n">
        <v>45578.71738425926</v>
      </c>
      <c r="C333" s="1" t="n">
        <v>46103</v>
      </c>
      <c r="D333" t="inlineStr">
        <is>
          <t>DALARNAS LÄN</t>
        </is>
      </c>
      <c r="E333" t="inlineStr">
        <is>
          <t>GAGNEF</t>
        </is>
      </c>
      <c r="G333" t="n">
        <v>1.7</v>
      </c>
      <c r="H333" t="n">
        <v>0</v>
      </c>
      <c r="I333" t="n">
        <v>0</v>
      </c>
      <c r="J333" t="n">
        <v>0</v>
      </c>
      <c r="K333" t="n">
        <v>0</v>
      </c>
      <c r="L333" t="n">
        <v>0</v>
      </c>
      <c r="M333" t="n">
        <v>0</v>
      </c>
      <c r="N333" t="n">
        <v>0</v>
      </c>
      <c r="O333" t="n">
        <v>0</v>
      </c>
      <c r="P333" t="n">
        <v>0</v>
      </c>
      <c r="Q333" t="n">
        <v>0</v>
      </c>
      <c r="R333" s="2" t="inlineStr"/>
    </row>
    <row r="334" ht="15" customHeight="1">
      <c r="A334" t="inlineStr">
        <is>
          <t>A 41365-2023</t>
        </is>
      </c>
      <c r="B334" s="1" t="n">
        <v>45174.84201388889</v>
      </c>
      <c r="C334" s="1" t="n">
        <v>46103</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38426-2024</t>
        </is>
      </c>
      <c r="B335" s="1" t="n">
        <v>45546.3780787037</v>
      </c>
      <c r="C335" s="1" t="n">
        <v>46103</v>
      </c>
      <c r="D335" t="inlineStr">
        <is>
          <t>DALARNAS LÄN</t>
        </is>
      </c>
      <c r="E335" t="inlineStr">
        <is>
          <t>GAGNEF</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64925-2021</t>
        </is>
      </c>
      <c r="B336" s="1" t="n">
        <v>44512.75452546297</v>
      </c>
      <c r="C336" s="1" t="n">
        <v>46103</v>
      </c>
      <c r="D336" t="inlineStr">
        <is>
          <t>DALARNAS LÄN</t>
        </is>
      </c>
      <c r="E336" t="inlineStr">
        <is>
          <t>GAGNEF</t>
        </is>
      </c>
      <c r="G336" t="n">
        <v>1.3</v>
      </c>
      <c r="H336" t="n">
        <v>0</v>
      </c>
      <c r="I336" t="n">
        <v>0</v>
      </c>
      <c r="J336" t="n">
        <v>0</v>
      </c>
      <c r="K336" t="n">
        <v>0</v>
      </c>
      <c r="L336" t="n">
        <v>0</v>
      </c>
      <c r="M336" t="n">
        <v>0</v>
      </c>
      <c r="N336" t="n">
        <v>0</v>
      </c>
      <c r="O336" t="n">
        <v>0</v>
      </c>
      <c r="P336" t="n">
        <v>0</v>
      </c>
      <c r="Q336" t="n">
        <v>0</v>
      </c>
      <c r="R336" s="2" t="inlineStr"/>
    </row>
    <row r="337" ht="15" customHeight="1">
      <c r="A337" t="inlineStr">
        <is>
          <t>A 34467-2024</t>
        </is>
      </c>
      <c r="B337" s="1" t="n">
        <v>45525.5819212963</v>
      </c>
      <c r="C337" s="1" t="n">
        <v>46103</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25024-2023</t>
        </is>
      </c>
      <c r="B338" s="1" t="n">
        <v>45085</v>
      </c>
      <c r="C338" s="1" t="n">
        <v>46103</v>
      </c>
      <c r="D338" t="inlineStr">
        <is>
          <t>DALARNAS LÄN</t>
        </is>
      </c>
      <c r="E338" t="inlineStr">
        <is>
          <t>GAGNEF</t>
        </is>
      </c>
      <c r="G338" t="n">
        <v>0.5</v>
      </c>
      <c r="H338" t="n">
        <v>0</v>
      </c>
      <c r="I338" t="n">
        <v>0</v>
      </c>
      <c r="J338" t="n">
        <v>0</v>
      </c>
      <c r="K338" t="n">
        <v>0</v>
      </c>
      <c r="L338" t="n">
        <v>0</v>
      </c>
      <c r="M338" t="n">
        <v>0</v>
      </c>
      <c r="N338" t="n">
        <v>0</v>
      </c>
      <c r="O338" t="n">
        <v>0</v>
      </c>
      <c r="P338" t="n">
        <v>0</v>
      </c>
      <c r="Q338" t="n">
        <v>0</v>
      </c>
      <c r="R338" s="2" t="inlineStr"/>
    </row>
    <row r="339" ht="15" customHeight="1">
      <c r="A339" t="inlineStr">
        <is>
          <t>A 337-2025</t>
        </is>
      </c>
      <c r="B339" s="1" t="n">
        <v>45660.68168981482</v>
      </c>
      <c r="C339" s="1" t="n">
        <v>46103</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17854-2024</t>
        </is>
      </c>
      <c r="B340" s="1" t="n">
        <v>45419.41003472222</v>
      </c>
      <c r="C340" s="1" t="n">
        <v>46103</v>
      </c>
      <c r="D340" t="inlineStr">
        <is>
          <t>DALARNAS LÄN</t>
        </is>
      </c>
      <c r="E340" t="inlineStr">
        <is>
          <t>GAGNEF</t>
        </is>
      </c>
      <c r="G340" t="n">
        <v>0.7</v>
      </c>
      <c r="H340" t="n">
        <v>0</v>
      </c>
      <c r="I340" t="n">
        <v>0</v>
      </c>
      <c r="J340" t="n">
        <v>0</v>
      </c>
      <c r="K340" t="n">
        <v>0</v>
      </c>
      <c r="L340" t="n">
        <v>0</v>
      </c>
      <c r="M340" t="n">
        <v>0</v>
      </c>
      <c r="N340" t="n">
        <v>0</v>
      </c>
      <c r="O340" t="n">
        <v>0</v>
      </c>
      <c r="P340" t="n">
        <v>0</v>
      </c>
      <c r="Q340" t="n">
        <v>0</v>
      </c>
      <c r="R340" s="2" t="inlineStr"/>
    </row>
    <row r="341" ht="15" customHeight="1">
      <c r="A341" t="inlineStr">
        <is>
          <t>A 41952-2024</t>
        </is>
      </c>
      <c r="B341" s="1" t="n">
        <v>45561.58697916667</v>
      </c>
      <c r="C341" s="1" t="n">
        <v>46103</v>
      </c>
      <c r="D341" t="inlineStr">
        <is>
          <t>DALARNAS LÄN</t>
        </is>
      </c>
      <c r="E341" t="inlineStr">
        <is>
          <t>GAGNEF</t>
        </is>
      </c>
      <c r="G341" t="n">
        <v>1.5</v>
      </c>
      <c r="H341" t="n">
        <v>0</v>
      </c>
      <c r="I341" t="n">
        <v>0</v>
      </c>
      <c r="J341" t="n">
        <v>0</v>
      </c>
      <c r="K341" t="n">
        <v>0</v>
      </c>
      <c r="L341" t="n">
        <v>0</v>
      </c>
      <c r="M341" t="n">
        <v>0</v>
      </c>
      <c r="N341" t="n">
        <v>0</v>
      </c>
      <c r="O341" t="n">
        <v>0</v>
      </c>
      <c r="P341" t="n">
        <v>0</v>
      </c>
      <c r="Q341" t="n">
        <v>0</v>
      </c>
      <c r="R341" s="2" t="inlineStr"/>
    </row>
    <row r="342" ht="15" customHeight="1">
      <c r="A342" t="inlineStr">
        <is>
          <t>A 31804-2024</t>
        </is>
      </c>
      <c r="B342" s="1" t="n">
        <v>45509.57237268519</v>
      </c>
      <c r="C342" s="1" t="n">
        <v>46103</v>
      </c>
      <c r="D342" t="inlineStr">
        <is>
          <t>DALARNAS LÄN</t>
        </is>
      </c>
      <c r="E342" t="inlineStr">
        <is>
          <t>GAGNEF</t>
        </is>
      </c>
      <c r="G342" t="n">
        <v>0.5</v>
      </c>
      <c r="H342" t="n">
        <v>0</v>
      </c>
      <c r="I342" t="n">
        <v>0</v>
      </c>
      <c r="J342" t="n">
        <v>0</v>
      </c>
      <c r="K342" t="n">
        <v>0</v>
      </c>
      <c r="L342" t="n">
        <v>0</v>
      </c>
      <c r="M342" t="n">
        <v>0</v>
      </c>
      <c r="N342" t="n">
        <v>0</v>
      </c>
      <c r="O342" t="n">
        <v>0</v>
      </c>
      <c r="P342" t="n">
        <v>0</v>
      </c>
      <c r="Q342" t="n">
        <v>0</v>
      </c>
      <c r="R342" s="2" t="inlineStr"/>
    </row>
    <row r="343" ht="15" customHeight="1">
      <c r="A343" t="inlineStr">
        <is>
          <t>A 41442-2024</t>
        </is>
      </c>
      <c r="B343" s="1" t="n">
        <v>45560.39084490741</v>
      </c>
      <c r="C343" s="1" t="n">
        <v>46103</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20486-2024</t>
        </is>
      </c>
      <c r="B344" s="1" t="n">
        <v>45435.76391203704</v>
      </c>
      <c r="C344" s="1" t="n">
        <v>46103</v>
      </c>
      <c r="D344" t="inlineStr">
        <is>
          <t>DALARNAS LÄN</t>
        </is>
      </c>
      <c r="E344" t="inlineStr">
        <is>
          <t>GAGNEF</t>
        </is>
      </c>
      <c r="G344" t="n">
        <v>10.1</v>
      </c>
      <c r="H344" t="n">
        <v>0</v>
      </c>
      <c r="I344" t="n">
        <v>0</v>
      </c>
      <c r="J344" t="n">
        <v>0</v>
      </c>
      <c r="K344" t="n">
        <v>0</v>
      </c>
      <c r="L344" t="n">
        <v>0</v>
      </c>
      <c r="M344" t="n">
        <v>0</v>
      </c>
      <c r="N344" t="n">
        <v>0</v>
      </c>
      <c r="O344" t="n">
        <v>0</v>
      </c>
      <c r="P344" t="n">
        <v>0</v>
      </c>
      <c r="Q344" t="n">
        <v>0</v>
      </c>
      <c r="R344" s="2" t="inlineStr"/>
    </row>
    <row r="345" ht="15" customHeight="1">
      <c r="A345" t="inlineStr">
        <is>
          <t>A 52159-2023</t>
        </is>
      </c>
      <c r="B345" s="1" t="n">
        <v>45224</v>
      </c>
      <c r="C345" s="1" t="n">
        <v>46103</v>
      </c>
      <c r="D345" t="inlineStr">
        <is>
          <t>DALARNAS LÄN</t>
        </is>
      </c>
      <c r="E345" t="inlineStr">
        <is>
          <t>GAGNEF</t>
        </is>
      </c>
      <c r="G345" t="n">
        <v>1</v>
      </c>
      <c r="H345" t="n">
        <v>0</v>
      </c>
      <c r="I345" t="n">
        <v>0</v>
      </c>
      <c r="J345" t="n">
        <v>0</v>
      </c>
      <c r="K345" t="n">
        <v>0</v>
      </c>
      <c r="L345" t="n">
        <v>0</v>
      </c>
      <c r="M345" t="n">
        <v>0</v>
      </c>
      <c r="N345" t="n">
        <v>0</v>
      </c>
      <c r="O345" t="n">
        <v>0</v>
      </c>
      <c r="P345" t="n">
        <v>0</v>
      </c>
      <c r="Q345" t="n">
        <v>0</v>
      </c>
      <c r="R345" s="2" t="inlineStr"/>
    </row>
    <row r="346" ht="15" customHeight="1">
      <c r="A346" t="inlineStr">
        <is>
          <t>A 25853-2024</t>
        </is>
      </c>
      <c r="B346" s="1" t="n">
        <v>45467.44922453703</v>
      </c>
      <c r="C346" s="1" t="n">
        <v>46103</v>
      </c>
      <c r="D346" t="inlineStr">
        <is>
          <t>DALARNAS LÄN</t>
        </is>
      </c>
      <c r="E346" t="inlineStr">
        <is>
          <t>GAGNEF</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6566-2022</t>
        </is>
      </c>
      <c r="B347" s="1" t="n">
        <v>44601</v>
      </c>
      <c r="C347" s="1" t="n">
        <v>46103</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44334-2024</t>
        </is>
      </c>
      <c r="B348" s="1" t="n">
        <v>45573.60828703704</v>
      </c>
      <c r="C348" s="1" t="n">
        <v>46103</v>
      </c>
      <c r="D348" t="inlineStr">
        <is>
          <t>DALARNAS LÄN</t>
        </is>
      </c>
      <c r="E348" t="inlineStr">
        <is>
          <t>GAGNEF</t>
        </is>
      </c>
      <c r="G348" t="n">
        <v>1.2</v>
      </c>
      <c r="H348" t="n">
        <v>0</v>
      </c>
      <c r="I348" t="n">
        <v>0</v>
      </c>
      <c r="J348" t="n">
        <v>0</v>
      </c>
      <c r="K348" t="n">
        <v>0</v>
      </c>
      <c r="L348" t="n">
        <v>0</v>
      </c>
      <c r="M348" t="n">
        <v>0</v>
      </c>
      <c r="N348" t="n">
        <v>0</v>
      </c>
      <c r="O348" t="n">
        <v>0</v>
      </c>
      <c r="P348" t="n">
        <v>0</v>
      </c>
      <c r="Q348" t="n">
        <v>0</v>
      </c>
      <c r="R348" s="2" t="inlineStr"/>
    </row>
    <row r="349" ht="15" customHeight="1">
      <c r="A349" t="inlineStr">
        <is>
          <t>A 61871-2024</t>
        </is>
      </c>
      <c r="B349" s="1" t="n">
        <v>45651.8659375</v>
      </c>
      <c r="C349" s="1" t="n">
        <v>46103</v>
      </c>
      <c r="D349" t="inlineStr">
        <is>
          <t>DALARNAS LÄN</t>
        </is>
      </c>
      <c r="E349" t="inlineStr">
        <is>
          <t>GAGNEF</t>
        </is>
      </c>
      <c r="F349" t="inlineStr">
        <is>
          <t>Bergvik skog väst AB</t>
        </is>
      </c>
      <c r="G349" t="n">
        <v>10</v>
      </c>
      <c r="H349" t="n">
        <v>0</v>
      </c>
      <c r="I349" t="n">
        <v>0</v>
      </c>
      <c r="J349" t="n">
        <v>0</v>
      </c>
      <c r="K349" t="n">
        <v>0</v>
      </c>
      <c r="L349" t="n">
        <v>0</v>
      </c>
      <c r="M349" t="n">
        <v>0</v>
      </c>
      <c r="N349" t="n">
        <v>0</v>
      </c>
      <c r="O349" t="n">
        <v>0</v>
      </c>
      <c r="P349" t="n">
        <v>0</v>
      </c>
      <c r="Q349" t="n">
        <v>0</v>
      </c>
      <c r="R349" s="2" t="inlineStr"/>
    </row>
    <row r="350" ht="15" customHeight="1">
      <c r="A350" t="inlineStr">
        <is>
          <t>A 35814-2024</t>
        </is>
      </c>
      <c r="B350" s="1" t="n">
        <v>45532.65449074074</v>
      </c>
      <c r="C350" s="1" t="n">
        <v>46103</v>
      </c>
      <c r="D350" t="inlineStr">
        <is>
          <t>DALARNAS LÄN</t>
        </is>
      </c>
      <c r="E350" t="inlineStr">
        <is>
          <t>GAGNEF</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46103</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51231-2023</t>
        </is>
      </c>
      <c r="B352" s="1" t="n">
        <v>45219</v>
      </c>
      <c r="C352" s="1" t="n">
        <v>46103</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31245-2024</t>
        </is>
      </c>
      <c r="B353" s="1" t="n">
        <v>45503.65226851852</v>
      </c>
      <c r="C353" s="1" t="n">
        <v>46103</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59893-2021</t>
        </is>
      </c>
      <c r="B354" s="1" t="n">
        <v>44494</v>
      </c>
      <c r="C354" s="1" t="n">
        <v>46103</v>
      </c>
      <c r="D354" t="inlineStr">
        <is>
          <t>DALARNAS LÄN</t>
        </is>
      </c>
      <c r="E354" t="inlineStr">
        <is>
          <t>GAGNEF</t>
        </is>
      </c>
      <c r="G354" t="n">
        <v>1.6</v>
      </c>
      <c r="H354" t="n">
        <v>0</v>
      </c>
      <c r="I354" t="n">
        <v>0</v>
      </c>
      <c r="J354" t="n">
        <v>0</v>
      </c>
      <c r="K354" t="n">
        <v>0</v>
      </c>
      <c r="L354" t="n">
        <v>0</v>
      </c>
      <c r="M354" t="n">
        <v>0</v>
      </c>
      <c r="N354" t="n">
        <v>0</v>
      </c>
      <c r="O354" t="n">
        <v>0</v>
      </c>
      <c r="P354" t="n">
        <v>0</v>
      </c>
      <c r="Q354" t="n">
        <v>0</v>
      </c>
      <c r="R354" s="2" t="inlineStr"/>
    </row>
    <row r="355" ht="15" customHeight="1">
      <c r="A355" t="inlineStr">
        <is>
          <t>A 10995-2024</t>
        </is>
      </c>
      <c r="B355" s="1" t="n">
        <v>45370.55768518519</v>
      </c>
      <c r="C355" s="1" t="n">
        <v>46103</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48805-2024</t>
        </is>
      </c>
      <c r="B356" s="1" t="n">
        <v>45593.66460648148</v>
      </c>
      <c r="C356" s="1" t="n">
        <v>46103</v>
      </c>
      <c r="D356" t="inlineStr">
        <is>
          <t>DALARNAS LÄN</t>
        </is>
      </c>
      <c r="E356" t="inlineStr">
        <is>
          <t>GAGNEF</t>
        </is>
      </c>
      <c r="G356" t="n">
        <v>0.4</v>
      </c>
      <c r="H356" t="n">
        <v>0</v>
      </c>
      <c r="I356" t="n">
        <v>0</v>
      </c>
      <c r="J356" t="n">
        <v>0</v>
      </c>
      <c r="K356" t="n">
        <v>0</v>
      </c>
      <c r="L356" t="n">
        <v>0</v>
      </c>
      <c r="M356" t="n">
        <v>0</v>
      </c>
      <c r="N356" t="n">
        <v>0</v>
      </c>
      <c r="O356" t="n">
        <v>0</v>
      </c>
      <c r="P356" t="n">
        <v>0</v>
      </c>
      <c r="Q356" t="n">
        <v>0</v>
      </c>
      <c r="R356" s="2" t="inlineStr"/>
    </row>
    <row r="357" ht="15" customHeight="1">
      <c r="A357" t="inlineStr">
        <is>
          <t>A 604-2025</t>
        </is>
      </c>
      <c r="B357" s="1" t="n">
        <v>45664</v>
      </c>
      <c r="C357" s="1" t="n">
        <v>46103</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36011-2023</t>
        </is>
      </c>
      <c r="B358" s="1" t="n">
        <v>45148</v>
      </c>
      <c r="C358" s="1" t="n">
        <v>46103</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46103</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56807-2023</t>
        </is>
      </c>
      <c r="B360" s="1" t="n">
        <v>45244</v>
      </c>
      <c r="C360" s="1" t="n">
        <v>46103</v>
      </c>
      <c r="D360" t="inlineStr">
        <is>
          <t>DALARNAS LÄN</t>
        </is>
      </c>
      <c r="E360" t="inlineStr">
        <is>
          <t>GAGNEF</t>
        </is>
      </c>
      <c r="G360" t="n">
        <v>10.9</v>
      </c>
      <c r="H360" t="n">
        <v>0</v>
      </c>
      <c r="I360" t="n">
        <v>0</v>
      </c>
      <c r="J360" t="n">
        <v>0</v>
      </c>
      <c r="K360" t="n">
        <v>0</v>
      </c>
      <c r="L360" t="n">
        <v>0</v>
      </c>
      <c r="M360" t="n">
        <v>0</v>
      </c>
      <c r="N360" t="n">
        <v>0</v>
      </c>
      <c r="O360" t="n">
        <v>0</v>
      </c>
      <c r="P360" t="n">
        <v>0</v>
      </c>
      <c r="Q360" t="n">
        <v>0</v>
      </c>
      <c r="R360" s="2" t="inlineStr"/>
    </row>
    <row r="361" ht="15" customHeight="1">
      <c r="A361" t="inlineStr">
        <is>
          <t>A 51138-2022</t>
        </is>
      </c>
      <c r="B361" s="1" t="n">
        <v>44868</v>
      </c>
      <c r="C361" s="1" t="n">
        <v>46103</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5347-2025</t>
        </is>
      </c>
      <c r="B362" s="1" t="n">
        <v>45692.55440972222</v>
      </c>
      <c r="C362" s="1" t="n">
        <v>46103</v>
      </c>
      <c r="D362" t="inlineStr">
        <is>
          <t>DALARNAS LÄN</t>
        </is>
      </c>
      <c r="E362" t="inlineStr">
        <is>
          <t>GAGNEF</t>
        </is>
      </c>
      <c r="G362" t="n">
        <v>1</v>
      </c>
      <c r="H362" t="n">
        <v>0</v>
      </c>
      <c r="I362" t="n">
        <v>0</v>
      </c>
      <c r="J362" t="n">
        <v>0</v>
      </c>
      <c r="K362" t="n">
        <v>0</v>
      </c>
      <c r="L362" t="n">
        <v>0</v>
      </c>
      <c r="M362" t="n">
        <v>0</v>
      </c>
      <c r="N362" t="n">
        <v>0</v>
      </c>
      <c r="O362" t="n">
        <v>0</v>
      </c>
      <c r="P362" t="n">
        <v>0</v>
      </c>
      <c r="Q362" t="n">
        <v>0</v>
      </c>
      <c r="R362" s="2" t="inlineStr"/>
    </row>
    <row r="363" ht="15" customHeight="1">
      <c r="A363" t="inlineStr">
        <is>
          <t>A 5859-2025</t>
        </is>
      </c>
      <c r="B363" s="1" t="n">
        <v>45695.34581018519</v>
      </c>
      <c r="C363" s="1" t="n">
        <v>46103</v>
      </c>
      <c r="D363" t="inlineStr">
        <is>
          <t>DALARNAS LÄN</t>
        </is>
      </c>
      <c r="E363" t="inlineStr">
        <is>
          <t>GAGNEF</t>
        </is>
      </c>
      <c r="G363" t="n">
        <v>0.5</v>
      </c>
      <c r="H363" t="n">
        <v>0</v>
      </c>
      <c r="I363" t="n">
        <v>0</v>
      </c>
      <c r="J363" t="n">
        <v>0</v>
      </c>
      <c r="K363" t="n">
        <v>0</v>
      </c>
      <c r="L363" t="n">
        <v>0</v>
      </c>
      <c r="M363" t="n">
        <v>0</v>
      </c>
      <c r="N363" t="n">
        <v>0</v>
      </c>
      <c r="O363" t="n">
        <v>0</v>
      </c>
      <c r="P363" t="n">
        <v>0</v>
      </c>
      <c r="Q363" t="n">
        <v>0</v>
      </c>
      <c r="R363" s="2" t="inlineStr"/>
    </row>
    <row r="364" ht="15" customHeight="1">
      <c r="A364" t="inlineStr">
        <is>
          <t>A 36005-2023</t>
        </is>
      </c>
      <c r="B364" s="1" t="n">
        <v>45148</v>
      </c>
      <c r="C364" s="1" t="n">
        <v>46103</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41368-2023</t>
        </is>
      </c>
      <c r="B365" s="1" t="n">
        <v>45174</v>
      </c>
      <c r="C365" s="1" t="n">
        <v>46103</v>
      </c>
      <c r="D365" t="inlineStr">
        <is>
          <t>DALARNAS LÄN</t>
        </is>
      </c>
      <c r="E365" t="inlineStr">
        <is>
          <t>GAGNEF</t>
        </is>
      </c>
      <c r="G365" t="n">
        <v>0.2</v>
      </c>
      <c r="H365" t="n">
        <v>0</v>
      </c>
      <c r="I365" t="n">
        <v>0</v>
      </c>
      <c r="J365" t="n">
        <v>0</v>
      </c>
      <c r="K365" t="n">
        <v>0</v>
      </c>
      <c r="L365" t="n">
        <v>0</v>
      </c>
      <c r="M365" t="n">
        <v>0</v>
      </c>
      <c r="N365" t="n">
        <v>0</v>
      </c>
      <c r="O365" t="n">
        <v>0</v>
      </c>
      <c r="P365" t="n">
        <v>0</v>
      </c>
      <c r="Q365" t="n">
        <v>0</v>
      </c>
      <c r="R365" s="2" t="inlineStr"/>
    </row>
    <row r="366" ht="15" customHeight="1">
      <c r="A366" t="inlineStr">
        <is>
          <t>A 23654-2023</t>
        </is>
      </c>
      <c r="B366" s="1" t="n">
        <v>45077</v>
      </c>
      <c r="C366" s="1" t="n">
        <v>46103</v>
      </c>
      <c r="D366" t="inlineStr">
        <is>
          <t>DALARNAS LÄN</t>
        </is>
      </c>
      <c r="E366" t="inlineStr">
        <is>
          <t>GAGNEF</t>
        </is>
      </c>
      <c r="G366" t="n">
        <v>3</v>
      </c>
      <c r="H366" t="n">
        <v>0</v>
      </c>
      <c r="I366" t="n">
        <v>0</v>
      </c>
      <c r="J366" t="n">
        <v>0</v>
      </c>
      <c r="K366" t="n">
        <v>0</v>
      </c>
      <c r="L366" t="n">
        <v>0</v>
      </c>
      <c r="M366" t="n">
        <v>0</v>
      </c>
      <c r="N366" t="n">
        <v>0</v>
      </c>
      <c r="O366" t="n">
        <v>0</v>
      </c>
      <c r="P366" t="n">
        <v>0</v>
      </c>
      <c r="Q366" t="n">
        <v>0</v>
      </c>
      <c r="R366" s="2" t="inlineStr"/>
    </row>
    <row r="367" ht="15" customHeight="1">
      <c r="A367" t="inlineStr">
        <is>
          <t>A 5294-2025</t>
        </is>
      </c>
      <c r="B367" s="1" t="n">
        <v>45692.44940972222</v>
      </c>
      <c r="C367" s="1" t="n">
        <v>46103</v>
      </c>
      <c r="D367" t="inlineStr">
        <is>
          <t>DALARNAS LÄN</t>
        </is>
      </c>
      <c r="E367" t="inlineStr">
        <is>
          <t>GAGNEF</t>
        </is>
      </c>
      <c r="G367" t="n">
        <v>6.2</v>
      </c>
      <c r="H367" t="n">
        <v>0</v>
      </c>
      <c r="I367" t="n">
        <v>0</v>
      </c>
      <c r="J367" t="n">
        <v>0</v>
      </c>
      <c r="K367" t="n">
        <v>0</v>
      </c>
      <c r="L367" t="n">
        <v>0</v>
      </c>
      <c r="M367" t="n">
        <v>0</v>
      </c>
      <c r="N367" t="n">
        <v>0</v>
      </c>
      <c r="O367" t="n">
        <v>0</v>
      </c>
      <c r="P367" t="n">
        <v>0</v>
      </c>
      <c r="Q367" t="n">
        <v>0</v>
      </c>
      <c r="R367" s="2" t="inlineStr"/>
    </row>
    <row r="368" ht="15" customHeight="1">
      <c r="A368" t="inlineStr">
        <is>
          <t>A 28559-2024</t>
        </is>
      </c>
      <c r="B368" s="1" t="n">
        <v>45478.38052083334</v>
      </c>
      <c r="C368" s="1" t="n">
        <v>46103</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15285-2025</t>
        </is>
      </c>
      <c r="B369" s="1" t="n">
        <v>45744.9047337963</v>
      </c>
      <c r="C369" s="1" t="n">
        <v>46103</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48645-2021</t>
        </is>
      </c>
      <c r="B370" s="1" t="n">
        <v>44452.52619212963</v>
      </c>
      <c r="C370" s="1" t="n">
        <v>46103</v>
      </c>
      <c r="D370" t="inlineStr">
        <is>
          <t>DALARNAS LÄN</t>
        </is>
      </c>
      <c r="E370" t="inlineStr">
        <is>
          <t>GAGNEF</t>
        </is>
      </c>
      <c r="G370" t="n">
        <v>1.3</v>
      </c>
      <c r="H370" t="n">
        <v>0</v>
      </c>
      <c r="I370" t="n">
        <v>0</v>
      </c>
      <c r="J370" t="n">
        <v>0</v>
      </c>
      <c r="K370" t="n">
        <v>0</v>
      </c>
      <c r="L370" t="n">
        <v>0</v>
      </c>
      <c r="M370" t="n">
        <v>0</v>
      </c>
      <c r="N370" t="n">
        <v>0</v>
      </c>
      <c r="O370" t="n">
        <v>0</v>
      </c>
      <c r="P370" t="n">
        <v>0</v>
      </c>
      <c r="Q370" t="n">
        <v>0</v>
      </c>
      <c r="R370" s="2" t="inlineStr"/>
    </row>
    <row r="371" ht="15" customHeight="1">
      <c r="A371" t="inlineStr">
        <is>
          <t>A 19197-2023</t>
        </is>
      </c>
      <c r="B371" s="1" t="n">
        <v>45048</v>
      </c>
      <c r="C371" s="1" t="n">
        <v>46103</v>
      </c>
      <c r="D371" t="inlineStr">
        <is>
          <t>DALARNAS LÄN</t>
        </is>
      </c>
      <c r="E371" t="inlineStr">
        <is>
          <t>GAGNEF</t>
        </is>
      </c>
      <c r="G371" t="n">
        <v>0.5</v>
      </c>
      <c r="H371" t="n">
        <v>0</v>
      </c>
      <c r="I371" t="n">
        <v>0</v>
      </c>
      <c r="J371" t="n">
        <v>0</v>
      </c>
      <c r="K371" t="n">
        <v>0</v>
      </c>
      <c r="L371" t="n">
        <v>0</v>
      </c>
      <c r="M371" t="n">
        <v>0</v>
      </c>
      <c r="N371" t="n">
        <v>0</v>
      </c>
      <c r="O371" t="n">
        <v>0</v>
      </c>
      <c r="P371" t="n">
        <v>0</v>
      </c>
      <c r="Q371" t="n">
        <v>0</v>
      </c>
      <c r="R371" s="2" t="inlineStr"/>
    </row>
    <row r="372" ht="15" customHeight="1">
      <c r="A372" t="inlineStr">
        <is>
          <t>A 15684-2024</t>
        </is>
      </c>
      <c r="B372" s="1" t="n">
        <v>45404.43857638889</v>
      </c>
      <c r="C372" s="1" t="n">
        <v>46103</v>
      </c>
      <c r="D372" t="inlineStr">
        <is>
          <t>DALARNAS LÄN</t>
        </is>
      </c>
      <c r="E372" t="inlineStr">
        <is>
          <t>GAGNEF</t>
        </is>
      </c>
      <c r="G372" t="n">
        <v>1.8</v>
      </c>
      <c r="H372" t="n">
        <v>0</v>
      </c>
      <c r="I372" t="n">
        <v>0</v>
      </c>
      <c r="J372" t="n">
        <v>0</v>
      </c>
      <c r="K372" t="n">
        <v>0</v>
      </c>
      <c r="L372" t="n">
        <v>0</v>
      </c>
      <c r="M372" t="n">
        <v>0</v>
      </c>
      <c r="N372" t="n">
        <v>0</v>
      </c>
      <c r="O372" t="n">
        <v>0</v>
      </c>
      <c r="P372" t="n">
        <v>0</v>
      </c>
      <c r="Q372" t="n">
        <v>0</v>
      </c>
      <c r="R372" s="2" t="inlineStr"/>
    </row>
    <row r="373" ht="15" customHeight="1">
      <c r="A373" t="inlineStr">
        <is>
          <t>A 43915-2024</t>
        </is>
      </c>
      <c r="B373" s="1" t="n">
        <v>45572.43608796296</v>
      </c>
      <c r="C373" s="1" t="n">
        <v>46103</v>
      </c>
      <c r="D373" t="inlineStr">
        <is>
          <t>DALARNAS LÄN</t>
        </is>
      </c>
      <c r="E373" t="inlineStr">
        <is>
          <t>GAGNEF</t>
        </is>
      </c>
      <c r="G373" t="n">
        <v>3.5</v>
      </c>
      <c r="H373" t="n">
        <v>0</v>
      </c>
      <c r="I373" t="n">
        <v>0</v>
      </c>
      <c r="J373" t="n">
        <v>0</v>
      </c>
      <c r="K373" t="n">
        <v>0</v>
      </c>
      <c r="L373" t="n">
        <v>0</v>
      </c>
      <c r="M373" t="n">
        <v>0</v>
      </c>
      <c r="N373" t="n">
        <v>0</v>
      </c>
      <c r="O373" t="n">
        <v>0</v>
      </c>
      <c r="P373" t="n">
        <v>0</v>
      </c>
      <c r="Q373" t="n">
        <v>0</v>
      </c>
      <c r="R373" s="2" t="inlineStr"/>
    </row>
    <row r="374" ht="15" customHeight="1">
      <c r="A374" t="inlineStr">
        <is>
          <t>A 9616-2024</t>
        </is>
      </c>
      <c r="B374" s="1" t="n">
        <v>45361</v>
      </c>
      <c r="C374" s="1" t="n">
        <v>46103</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43911-2024</t>
        </is>
      </c>
      <c r="B375" s="1" t="n">
        <v>45572.43356481481</v>
      </c>
      <c r="C375" s="1" t="n">
        <v>46103</v>
      </c>
      <c r="D375" t="inlineStr">
        <is>
          <t>DALARNAS LÄN</t>
        </is>
      </c>
      <c r="E375" t="inlineStr">
        <is>
          <t>GAGNEF</t>
        </is>
      </c>
      <c r="G375" t="n">
        <v>1</v>
      </c>
      <c r="H375" t="n">
        <v>0</v>
      </c>
      <c r="I375" t="n">
        <v>0</v>
      </c>
      <c r="J375" t="n">
        <v>0</v>
      </c>
      <c r="K375" t="n">
        <v>0</v>
      </c>
      <c r="L375" t="n">
        <v>0</v>
      </c>
      <c r="M375" t="n">
        <v>0</v>
      </c>
      <c r="N375" t="n">
        <v>0</v>
      </c>
      <c r="O375" t="n">
        <v>0</v>
      </c>
      <c r="P375" t="n">
        <v>0</v>
      </c>
      <c r="Q375" t="n">
        <v>0</v>
      </c>
      <c r="R375" s="2" t="inlineStr"/>
    </row>
    <row r="376" ht="15" customHeight="1">
      <c r="A376" t="inlineStr">
        <is>
          <t>A 43913-2024</t>
        </is>
      </c>
      <c r="B376" s="1" t="n">
        <v>45572</v>
      </c>
      <c r="C376" s="1" t="n">
        <v>46103</v>
      </c>
      <c r="D376" t="inlineStr">
        <is>
          <t>DALARNAS LÄN</t>
        </is>
      </c>
      <c r="E376" t="inlineStr">
        <is>
          <t>GAGNEF</t>
        </is>
      </c>
      <c r="G376" t="n">
        <v>1.5</v>
      </c>
      <c r="H376" t="n">
        <v>0</v>
      </c>
      <c r="I376" t="n">
        <v>0</v>
      </c>
      <c r="J376" t="n">
        <v>0</v>
      </c>
      <c r="K376" t="n">
        <v>0</v>
      </c>
      <c r="L376" t="n">
        <v>0</v>
      </c>
      <c r="M376" t="n">
        <v>0</v>
      </c>
      <c r="N376" t="n">
        <v>0</v>
      </c>
      <c r="O376" t="n">
        <v>0</v>
      </c>
      <c r="P376" t="n">
        <v>0</v>
      </c>
      <c r="Q376" t="n">
        <v>0</v>
      </c>
      <c r="R376" s="2" t="inlineStr"/>
    </row>
    <row r="377" ht="15" customHeight="1">
      <c r="A377" t="inlineStr">
        <is>
          <t>A 42596-2021</t>
        </is>
      </c>
      <c r="B377" s="1" t="n">
        <v>44428.37861111111</v>
      </c>
      <c r="C377" s="1" t="n">
        <v>46103</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19344-2025</t>
        </is>
      </c>
      <c r="B378" s="1" t="n">
        <v>45769.59975694444</v>
      </c>
      <c r="C378" s="1" t="n">
        <v>46103</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8867-2025</t>
        </is>
      </c>
      <c r="B379" s="1" t="n">
        <v>45713.36719907408</v>
      </c>
      <c r="C379" s="1" t="n">
        <v>46103</v>
      </c>
      <c r="D379" t="inlineStr">
        <is>
          <t>DALARNAS LÄN</t>
        </is>
      </c>
      <c r="E379" t="inlineStr">
        <is>
          <t>GAGNEF</t>
        </is>
      </c>
      <c r="G379" t="n">
        <v>0.8</v>
      </c>
      <c r="H379" t="n">
        <v>0</v>
      </c>
      <c r="I379" t="n">
        <v>0</v>
      </c>
      <c r="J379" t="n">
        <v>0</v>
      </c>
      <c r="K379" t="n">
        <v>0</v>
      </c>
      <c r="L379" t="n">
        <v>0</v>
      </c>
      <c r="M379" t="n">
        <v>0</v>
      </c>
      <c r="N379" t="n">
        <v>0</v>
      </c>
      <c r="O379" t="n">
        <v>0</v>
      </c>
      <c r="P379" t="n">
        <v>0</v>
      </c>
      <c r="Q379" t="n">
        <v>0</v>
      </c>
      <c r="R379" s="2" t="inlineStr"/>
    </row>
    <row r="380" ht="15" customHeight="1">
      <c r="A380" t="inlineStr">
        <is>
          <t>A 42704-2024</t>
        </is>
      </c>
      <c r="B380" s="1" t="n">
        <v>45566.43722222222</v>
      </c>
      <c r="C380" s="1" t="n">
        <v>46103</v>
      </c>
      <c r="D380" t="inlineStr">
        <is>
          <t>DALARNAS LÄN</t>
        </is>
      </c>
      <c r="E380" t="inlineStr">
        <is>
          <t>GAGNEF</t>
        </is>
      </c>
      <c r="G380" t="n">
        <v>3.5</v>
      </c>
      <c r="H380" t="n">
        <v>0</v>
      </c>
      <c r="I380" t="n">
        <v>0</v>
      </c>
      <c r="J380" t="n">
        <v>0</v>
      </c>
      <c r="K380" t="n">
        <v>0</v>
      </c>
      <c r="L380" t="n">
        <v>0</v>
      </c>
      <c r="M380" t="n">
        <v>0</v>
      </c>
      <c r="N380" t="n">
        <v>0</v>
      </c>
      <c r="O380" t="n">
        <v>0</v>
      </c>
      <c r="P380" t="n">
        <v>0</v>
      </c>
      <c r="Q380" t="n">
        <v>0</v>
      </c>
      <c r="R380" s="2" t="inlineStr"/>
    </row>
    <row r="381" ht="15" customHeight="1">
      <c r="A381" t="inlineStr">
        <is>
          <t>A 42713-2024</t>
        </is>
      </c>
      <c r="B381" s="1" t="n">
        <v>45566</v>
      </c>
      <c r="C381" s="1" t="n">
        <v>46103</v>
      </c>
      <c r="D381" t="inlineStr">
        <is>
          <t>DALARNAS LÄN</t>
        </is>
      </c>
      <c r="E381" t="inlineStr">
        <is>
          <t>GAGNEF</t>
        </is>
      </c>
      <c r="G381" t="n">
        <v>1.5</v>
      </c>
      <c r="H381" t="n">
        <v>0</v>
      </c>
      <c r="I381" t="n">
        <v>0</v>
      </c>
      <c r="J381" t="n">
        <v>0</v>
      </c>
      <c r="K381" t="n">
        <v>0</v>
      </c>
      <c r="L381" t="n">
        <v>0</v>
      </c>
      <c r="M381" t="n">
        <v>0</v>
      </c>
      <c r="N381" t="n">
        <v>0</v>
      </c>
      <c r="O381" t="n">
        <v>0</v>
      </c>
      <c r="P381" t="n">
        <v>0</v>
      </c>
      <c r="Q381" t="n">
        <v>0</v>
      </c>
      <c r="R381" s="2" t="inlineStr"/>
    </row>
    <row r="382" ht="15" customHeight="1">
      <c r="A382" t="inlineStr">
        <is>
          <t>A 3642-2025</t>
        </is>
      </c>
      <c r="B382" s="1" t="n">
        <v>45681.39009259259</v>
      </c>
      <c r="C382" s="1" t="n">
        <v>46103</v>
      </c>
      <c r="D382" t="inlineStr">
        <is>
          <t>DALARNAS LÄN</t>
        </is>
      </c>
      <c r="E382" t="inlineStr">
        <is>
          <t>GAGNEF</t>
        </is>
      </c>
      <c r="G382" t="n">
        <v>4.7</v>
      </c>
      <c r="H382" t="n">
        <v>0</v>
      </c>
      <c r="I382" t="n">
        <v>0</v>
      </c>
      <c r="J382" t="n">
        <v>0</v>
      </c>
      <c r="K382" t="n">
        <v>0</v>
      </c>
      <c r="L382" t="n">
        <v>0</v>
      </c>
      <c r="M382" t="n">
        <v>0</v>
      </c>
      <c r="N382" t="n">
        <v>0</v>
      </c>
      <c r="O382" t="n">
        <v>0</v>
      </c>
      <c r="P382" t="n">
        <v>0</v>
      </c>
      <c r="Q382" t="n">
        <v>0</v>
      </c>
      <c r="R382" s="2" t="inlineStr"/>
    </row>
    <row r="383" ht="15" customHeight="1">
      <c r="A383" t="inlineStr">
        <is>
          <t>A 20771-2025</t>
        </is>
      </c>
      <c r="B383" s="1" t="n">
        <v>45776.58692129629</v>
      </c>
      <c r="C383" s="1" t="n">
        <v>46103</v>
      </c>
      <c r="D383" t="inlineStr">
        <is>
          <t>DALARNAS LÄN</t>
        </is>
      </c>
      <c r="E383" t="inlineStr">
        <is>
          <t>GAGNEF</t>
        </is>
      </c>
      <c r="G383" t="n">
        <v>10.5</v>
      </c>
      <c r="H383" t="n">
        <v>0</v>
      </c>
      <c r="I383" t="n">
        <v>0</v>
      </c>
      <c r="J383" t="n">
        <v>0</v>
      </c>
      <c r="K383" t="n">
        <v>0</v>
      </c>
      <c r="L383" t="n">
        <v>0</v>
      </c>
      <c r="M383" t="n">
        <v>0</v>
      </c>
      <c r="N383" t="n">
        <v>0</v>
      </c>
      <c r="O383" t="n">
        <v>0</v>
      </c>
      <c r="P383" t="n">
        <v>0</v>
      </c>
      <c r="Q383" t="n">
        <v>0</v>
      </c>
      <c r="R383" s="2" t="inlineStr"/>
    </row>
    <row r="384" ht="15" customHeight="1">
      <c r="A384" t="inlineStr">
        <is>
          <t>A 36127-2024</t>
        </is>
      </c>
      <c r="B384" s="1" t="n">
        <v>45534.3334375</v>
      </c>
      <c r="C384" s="1" t="n">
        <v>46103</v>
      </c>
      <c r="D384" t="inlineStr">
        <is>
          <t>DALARNAS LÄN</t>
        </is>
      </c>
      <c r="E384" t="inlineStr">
        <is>
          <t>GAGNEF</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46103</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36132-2024</t>
        </is>
      </c>
      <c r="B386" s="1" t="n">
        <v>45534.34255787037</v>
      </c>
      <c r="C386" s="1" t="n">
        <v>46103</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27814-2024</t>
        </is>
      </c>
      <c r="B387" s="1" t="n">
        <v>45475.5928587963</v>
      </c>
      <c r="C387" s="1" t="n">
        <v>46103</v>
      </c>
      <c r="D387" t="inlineStr">
        <is>
          <t>DALARNAS LÄN</t>
        </is>
      </c>
      <c r="E387" t="inlineStr">
        <is>
          <t>GAGNEF</t>
        </is>
      </c>
      <c r="G387" t="n">
        <v>3.8</v>
      </c>
      <c r="H387" t="n">
        <v>0</v>
      </c>
      <c r="I387" t="n">
        <v>0</v>
      </c>
      <c r="J387" t="n">
        <v>0</v>
      </c>
      <c r="K387" t="n">
        <v>0</v>
      </c>
      <c r="L387" t="n">
        <v>0</v>
      </c>
      <c r="M387" t="n">
        <v>0</v>
      </c>
      <c r="N387" t="n">
        <v>0</v>
      </c>
      <c r="O387" t="n">
        <v>0</v>
      </c>
      <c r="P387" t="n">
        <v>0</v>
      </c>
      <c r="Q387" t="n">
        <v>0</v>
      </c>
      <c r="R387" s="2" t="inlineStr"/>
    </row>
    <row r="388" ht="15" customHeight="1">
      <c r="A388" t="inlineStr">
        <is>
          <t>A 8491-2025</t>
        </is>
      </c>
      <c r="B388" s="1" t="n">
        <v>45709.50834490741</v>
      </c>
      <c r="C388" s="1" t="n">
        <v>46103</v>
      </c>
      <c r="D388" t="inlineStr">
        <is>
          <t>DALARNAS LÄN</t>
        </is>
      </c>
      <c r="E388" t="inlineStr">
        <is>
          <t>GAGNEF</t>
        </is>
      </c>
      <c r="G388" t="n">
        <v>3.2</v>
      </c>
      <c r="H388" t="n">
        <v>0</v>
      </c>
      <c r="I388" t="n">
        <v>0</v>
      </c>
      <c r="J388" t="n">
        <v>0</v>
      </c>
      <c r="K388" t="n">
        <v>0</v>
      </c>
      <c r="L388" t="n">
        <v>0</v>
      </c>
      <c r="M388" t="n">
        <v>0</v>
      </c>
      <c r="N388" t="n">
        <v>0</v>
      </c>
      <c r="O388" t="n">
        <v>0</v>
      </c>
      <c r="P388" t="n">
        <v>0</v>
      </c>
      <c r="Q388" t="n">
        <v>0</v>
      </c>
      <c r="R388" s="2" t="inlineStr"/>
    </row>
    <row r="389" ht="15" customHeight="1">
      <c r="A389" t="inlineStr">
        <is>
          <t>A 11349-2023</t>
        </is>
      </c>
      <c r="B389" s="1" t="n">
        <v>44993</v>
      </c>
      <c r="C389" s="1" t="n">
        <v>46103</v>
      </c>
      <c r="D389" t="inlineStr">
        <is>
          <t>DALARNAS LÄN</t>
        </is>
      </c>
      <c r="E389" t="inlineStr">
        <is>
          <t>GAGNEF</t>
        </is>
      </c>
      <c r="G389" t="n">
        <v>5.8</v>
      </c>
      <c r="H389" t="n">
        <v>0</v>
      </c>
      <c r="I389" t="n">
        <v>0</v>
      </c>
      <c r="J389" t="n">
        <v>0</v>
      </c>
      <c r="K389" t="n">
        <v>0</v>
      </c>
      <c r="L389" t="n">
        <v>0</v>
      </c>
      <c r="M389" t="n">
        <v>0</v>
      </c>
      <c r="N389" t="n">
        <v>0</v>
      </c>
      <c r="O389" t="n">
        <v>0</v>
      </c>
      <c r="P389" t="n">
        <v>0</v>
      </c>
      <c r="Q389" t="n">
        <v>0</v>
      </c>
      <c r="R389" s="2" t="inlineStr"/>
    </row>
    <row r="390" ht="15" customHeight="1">
      <c r="A390" t="inlineStr">
        <is>
          <t>A 30635-2024</t>
        </is>
      </c>
      <c r="B390" s="1" t="n">
        <v>45495.54474537037</v>
      </c>
      <c r="C390" s="1" t="n">
        <v>46103</v>
      </c>
      <c r="D390" t="inlineStr">
        <is>
          <t>DALARNAS LÄN</t>
        </is>
      </c>
      <c r="E390" t="inlineStr">
        <is>
          <t>GAGNEF</t>
        </is>
      </c>
      <c r="G390" t="n">
        <v>1.9</v>
      </c>
      <c r="H390" t="n">
        <v>0</v>
      </c>
      <c r="I390" t="n">
        <v>0</v>
      </c>
      <c r="J390" t="n">
        <v>0</v>
      </c>
      <c r="K390" t="n">
        <v>0</v>
      </c>
      <c r="L390" t="n">
        <v>0</v>
      </c>
      <c r="M390" t="n">
        <v>0</v>
      </c>
      <c r="N390" t="n">
        <v>0</v>
      </c>
      <c r="O390" t="n">
        <v>0</v>
      </c>
      <c r="P390" t="n">
        <v>0</v>
      </c>
      <c r="Q390" t="n">
        <v>0</v>
      </c>
      <c r="R390" s="2" t="inlineStr"/>
    </row>
    <row r="391">
      <c r="A391" t="inlineStr">
        <is>
          <t>A 27668-2023</t>
        </is>
      </c>
      <c r="B391" s="1" t="n">
        <v>45097</v>
      </c>
      <c r="C391" s="1" t="n">
        <v>46103</v>
      </c>
      <c r="D391" t="inlineStr">
        <is>
          <t>DALARNAS LÄN</t>
        </is>
      </c>
      <c r="E391" t="inlineStr">
        <is>
          <t>GAGNEF</t>
        </is>
      </c>
      <c r="G391" t="n">
        <v>1.4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2026-03-22T11:30:40Z</dcterms:created>
  <dcterms:modified xmlns:dcterms="http://purl.org/dc/terms/" xmlns:xsi="http://www.w3.org/2001/XMLSchema-instance" xsi:type="dcterms:W3CDTF">2026-03-22T11:30:40Z</dcterms:modified>
</cp:coreProperties>
</file>