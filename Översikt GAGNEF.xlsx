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46166</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46166</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46166</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46166</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46166</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46166</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46166</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46166</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10434-2026</t>
        </is>
      </c>
      <c r="B14" s="1" t="n">
        <v>46077</v>
      </c>
      <c r="C14" s="1" t="n">
        <v>46166</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46166</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46166</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46166</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46166</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16480-2026</t>
        </is>
      </c>
      <c r="B19" s="1" t="n">
        <v>46112.39954861111</v>
      </c>
      <c r="C19" s="1" t="n">
        <v>46166</v>
      </c>
      <c r="D19" t="inlineStr">
        <is>
          <t>DALARNAS LÄN</t>
        </is>
      </c>
      <c r="E19" t="inlineStr">
        <is>
          <t>GAGNEF</t>
        </is>
      </c>
      <c r="G19" t="n">
        <v>0.9</v>
      </c>
      <c r="H19" t="n">
        <v>0</v>
      </c>
      <c r="I19" t="n">
        <v>1</v>
      </c>
      <c r="J19" t="n">
        <v>1</v>
      </c>
      <c r="K19" t="n">
        <v>0</v>
      </c>
      <c r="L19" t="n">
        <v>0</v>
      </c>
      <c r="M19" t="n">
        <v>0</v>
      </c>
      <c r="N19" t="n">
        <v>0</v>
      </c>
      <c r="O19" t="n">
        <v>1</v>
      </c>
      <c r="P19" t="n">
        <v>0</v>
      </c>
      <c r="Q19" t="n">
        <v>2</v>
      </c>
      <c r="R19" s="2" t="inlineStr">
        <is>
          <t>Backnopping
Blodvaxing</t>
        </is>
      </c>
      <c r="S19">
        <f>HYPERLINK("https://klasma.github.io/Logging_2026/artfynd/A 16480-2026 artfynd.xlsx", "A 16480-2026")</f>
        <v/>
      </c>
      <c r="T19">
        <f>HYPERLINK("https://klasma.github.io/Logging_2026/kartor/A 16480-2026 karta.png", "A 16480-2026")</f>
        <v/>
      </c>
      <c r="V19">
        <f>HYPERLINK("https://klasma.github.io/Logging_2026/klagomål/A 16480-2026 FSC-klagomål.docx", "A 16480-2026")</f>
        <v/>
      </c>
      <c r="W19">
        <f>HYPERLINK("https://klasma.github.io/Logging_2026/klagomålsmail/A 16480-2026 FSC-klagomål mail.docx", "A 16480-2026")</f>
        <v/>
      </c>
      <c r="X19">
        <f>HYPERLINK("https://klasma.github.io/Logging_2026/tillsyn/A 16480-2026 tillsynsbegäran.docx", "A 16480-2026")</f>
        <v/>
      </c>
      <c r="Y19">
        <f>HYPERLINK("https://klasma.github.io/Logging_2026/tillsynsmail/A 16480-2026 tillsynsbegäran mail.docx", "A 16480-2026")</f>
        <v/>
      </c>
    </row>
    <row r="20" ht="15" customHeight="1">
      <c r="A20" t="inlineStr">
        <is>
          <t>A 52436-2024</t>
        </is>
      </c>
      <c r="B20" s="1" t="n">
        <v>45608</v>
      </c>
      <c r="C20" s="1" t="n">
        <v>46166</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46166</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46166</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46166</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45588.62069444444</v>
      </c>
      <c r="C24" s="1" t="n">
        <v>46166</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21887-2026</t>
        </is>
      </c>
      <c r="B25" s="1" t="n">
        <v>46150.59491898148</v>
      </c>
      <c r="C25" s="1" t="n">
        <v>46166</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34418-2025</t>
        </is>
      </c>
      <c r="B26" s="1" t="n">
        <v>45846.65744212963</v>
      </c>
      <c r="C26" s="1" t="n">
        <v>46166</v>
      </c>
      <c r="D26" t="inlineStr">
        <is>
          <t>DALARNAS LÄN</t>
        </is>
      </c>
      <c r="E26" t="inlineStr">
        <is>
          <t>GAGNEF</t>
        </is>
      </c>
      <c r="G26" t="n">
        <v>2.3</v>
      </c>
      <c r="H26" t="n">
        <v>0</v>
      </c>
      <c r="I26" t="n">
        <v>1</v>
      </c>
      <c r="J26" t="n">
        <v>1</v>
      </c>
      <c r="K26" t="n">
        <v>0</v>
      </c>
      <c r="L26" t="n">
        <v>0</v>
      </c>
      <c r="M26" t="n">
        <v>0</v>
      </c>
      <c r="N26" t="n">
        <v>0</v>
      </c>
      <c r="O26" t="n">
        <v>1</v>
      </c>
      <c r="P26" t="n">
        <v>0</v>
      </c>
      <c r="Q26" t="n">
        <v>2</v>
      </c>
      <c r="R26" s="2" t="inlineStr">
        <is>
          <t>Mörk kolflarnlav
Stuplav</t>
        </is>
      </c>
      <c r="S26">
        <f>HYPERLINK("https://klasma.github.io/Logging_2026/artfynd/A 34418-2025 artfynd.xlsx", "A 34418-2025")</f>
        <v/>
      </c>
      <c r="T26">
        <f>HYPERLINK("https://klasma.github.io/Logging_2026/kartor/A 34418-2025 karta.png", "A 34418-2025")</f>
        <v/>
      </c>
      <c r="V26">
        <f>HYPERLINK("https://klasma.github.io/Logging_2026/klagomål/A 34418-2025 FSC-klagomål.docx", "A 34418-2025")</f>
        <v/>
      </c>
      <c r="W26">
        <f>HYPERLINK("https://klasma.github.io/Logging_2026/klagomålsmail/A 34418-2025 FSC-klagomål mail.docx", "A 34418-2025")</f>
        <v/>
      </c>
      <c r="X26">
        <f>HYPERLINK("https://klasma.github.io/Logging_2026/tillsyn/A 34418-2025 tillsynsbegäran.docx", "A 34418-2025")</f>
        <v/>
      </c>
      <c r="Y26">
        <f>HYPERLINK("https://klasma.github.io/Logging_2026/tillsynsmail/A 34418-2025 tillsynsbegäran mail.docx", "A 34418-2025")</f>
        <v/>
      </c>
    </row>
    <row r="27" ht="15" customHeight="1">
      <c r="A27" t="inlineStr">
        <is>
          <t>A 37131-2021</t>
        </is>
      </c>
      <c r="B27" s="1" t="n">
        <v>44396</v>
      </c>
      <c r="C27" s="1" t="n">
        <v>46166</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46166</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36510-2025</t>
        </is>
      </c>
      <c r="B29" s="1" t="n">
        <v>45869</v>
      </c>
      <c r="C29" s="1" t="n">
        <v>46166</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17730-2026</t>
        </is>
      </c>
      <c r="B30" s="1" t="n">
        <v>46121.88876157408</v>
      </c>
      <c r="C30" s="1" t="n">
        <v>46166</v>
      </c>
      <c r="D30" t="inlineStr">
        <is>
          <t>DALARNAS LÄN</t>
        </is>
      </c>
      <c r="E30" t="inlineStr">
        <is>
          <t>GAGNEF</t>
        </is>
      </c>
      <c r="G30" t="n">
        <v>1</v>
      </c>
      <c r="H30" t="n">
        <v>1</v>
      </c>
      <c r="I30" t="n">
        <v>0</v>
      </c>
      <c r="J30" t="n">
        <v>0</v>
      </c>
      <c r="K30" t="n">
        <v>0</v>
      </c>
      <c r="L30" t="n">
        <v>0</v>
      </c>
      <c r="M30" t="n">
        <v>0</v>
      </c>
      <c r="N30" t="n">
        <v>0</v>
      </c>
      <c r="O30" t="n">
        <v>0</v>
      </c>
      <c r="P30" t="n">
        <v>0</v>
      </c>
      <c r="Q30" t="n">
        <v>1</v>
      </c>
      <c r="R30" s="2" t="inlineStr">
        <is>
          <t>Revlummer</t>
        </is>
      </c>
      <c r="S30">
        <f>HYPERLINK("https://klasma.github.io/Logging_2026/artfynd/A 17730-2026 artfynd.xlsx", "A 17730-2026")</f>
        <v/>
      </c>
      <c r="T30">
        <f>HYPERLINK("https://klasma.github.io/Logging_2026/kartor/A 17730-2026 karta.png", "A 17730-2026")</f>
        <v/>
      </c>
      <c r="V30">
        <f>HYPERLINK("https://klasma.github.io/Logging_2026/klagomål/A 17730-2026 FSC-klagomål.docx", "A 17730-2026")</f>
        <v/>
      </c>
      <c r="W30">
        <f>HYPERLINK("https://klasma.github.io/Logging_2026/klagomålsmail/A 17730-2026 FSC-klagomål mail.docx", "A 17730-2026")</f>
        <v/>
      </c>
      <c r="X30">
        <f>HYPERLINK("https://klasma.github.io/Logging_2026/tillsyn/A 17730-2026 tillsynsbegäran.docx", "A 17730-2026")</f>
        <v/>
      </c>
      <c r="Y30">
        <f>HYPERLINK("https://klasma.github.io/Logging_2026/tillsynsmail/A 17730-2026 tillsynsbegäran mail.docx", "A 17730-2026")</f>
        <v/>
      </c>
    </row>
    <row r="31" ht="15" customHeight="1">
      <c r="A31" t="inlineStr">
        <is>
          <t>A 28550-2024</t>
        </is>
      </c>
      <c r="B31" s="1" t="n">
        <v>45478.37068287037</v>
      </c>
      <c r="C31" s="1" t="n">
        <v>46166</v>
      </c>
      <c r="D31" t="inlineStr">
        <is>
          <t>DALARNAS LÄN</t>
        </is>
      </c>
      <c r="E31" t="inlineStr">
        <is>
          <t>GAGNEF</t>
        </is>
      </c>
      <c r="F31" t="inlineStr">
        <is>
          <t>Bergvik skog väst AB</t>
        </is>
      </c>
      <c r="G31" t="n">
        <v>2.6</v>
      </c>
      <c r="H31" t="n">
        <v>0</v>
      </c>
      <c r="I31" t="n">
        <v>0</v>
      </c>
      <c r="J31" t="n">
        <v>0</v>
      </c>
      <c r="K31" t="n">
        <v>0</v>
      </c>
      <c r="L31" t="n">
        <v>0</v>
      </c>
      <c r="M31" t="n">
        <v>1</v>
      </c>
      <c r="N31" t="n">
        <v>0</v>
      </c>
      <c r="O31" t="n">
        <v>1</v>
      </c>
      <c r="P31" t="n">
        <v>1</v>
      </c>
      <c r="Q31" t="n">
        <v>1</v>
      </c>
      <c r="R31" s="2" t="inlineStr">
        <is>
          <t>Citronporing</t>
        </is>
      </c>
      <c r="S31">
        <f>HYPERLINK("https://klasma.github.io/Logging_2026/artfynd/A 28550-2024 artfynd.xlsx", "A 28550-2024")</f>
        <v/>
      </c>
      <c r="T31">
        <f>HYPERLINK("https://klasma.github.io/Logging_2026/kartor/A 28550-2024 karta.png", "A 28550-2024")</f>
        <v/>
      </c>
      <c r="V31">
        <f>HYPERLINK("https://klasma.github.io/Logging_2026/klagomål/A 28550-2024 FSC-klagomål.docx", "A 28550-2024")</f>
        <v/>
      </c>
      <c r="W31">
        <f>HYPERLINK("https://klasma.github.io/Logging_2026/klagomålsmail/A 28550-2024 FSC-klagomål mail.docx", "A 28550-2024")</f>
        <v/>
      </c>
      <c r="X31">
        <f>HYPERLINK("https://klasma.github.io/Logging_2026/tillsyn/A 28550-2024 tillsynsbegäran.docx", "A 28550-2024")</f>
        <v/>
      </c>
      <c r="Y31">
        <f>HYPERLINK("https://klasma.github.io/Logging_2026/tillsynsmail/A 28550-2024 tillsynsbegäran mail.docx", "A 28550-2024")</f>
        <v/>
      </c>
    </row>
    <row r="32" ht="15" customHeight="1">
      <c r="A32" t="inlineStr">
        <is>
          <t>A 42709-2024</t>
        </is>
      </c>
      <c r="B32" s="1" t="n">
        <v>45566</v>
      </c>
      <c r="C32" s="1" t="n">
        <v>46166</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64510-2021</t>
        </is>
      </c>
      <c r="B33" s="1" t="n">
        <v>44511</v>
      </c>
      <c r="C33" s="1" t="n">
        <v>46166</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61316-2025</t>
        </is>
      </c>
      <c r="B34" s="1" t="n">
        <v>46000.93822916667</v>
      </c>
      <c r="C34" s="1" t="n">
        <v>46166</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46166</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676-2026</t>
        </is>
      </c>
      <c r="B36" s="1" t="n">
        <v>46029.59697916666</v>
      </c>
      <c r="C36" s="1" t="n">
        <v>46166</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13950-2026</t>
        </is>
      </c>
      <c r="B37" s="1" t="n">
        <v>46098</v>
      </c>
      <c r="C37" s="1" t="n">
        <v>46166</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61787-2024</t>
        </is>
      </c>
      <c r="B38" s="1" t="n">
        <v>45649.48122685185</v>
      </c>
      <c r="C38" s="1" t="n">
        <v>46166</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46166</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46166</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46166</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46166</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46166</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46166</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46166</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46166</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46166</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46166</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46166</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46166</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46166</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46166</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46166</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46166</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46166</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46166</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46166</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46166</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46166</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46166</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46166</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46166</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46166</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46166</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46166</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46166</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22596-2024</t>
        </is>
      </c>
      <c r="B67" s="1" t="n">
        <v>45447.614375</v>
      </c>
      <c r="C67" s="1" t="n">
        <v>46166</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46166</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46166</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46166</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46166</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46166</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46166</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46166</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46166</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46166</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46166</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46166</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46166</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46166</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4374-2024</t>
        </is>
      </c>
      <c r="B81" s="1" t="n">
        <v>45326.73876157407</v>
      </c>
      <c r="C81" s="1" t="n">
        <v>46166</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46166</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61872-2024</t>
        </is>
      </c>
      <c r="B83" s="1" t="n">
        <v>45651.86974537037</v>
      </c>
      <c r="C83" s="1" t="n">
        <v>46166</v>
      </c>
      <c r="D83" t="inlineStr">
        <is>
          <t>DALARNAS LÄN</t>
        </is>
      </c>
      <c r="E83" t="inlineStr">
        <is>
          <t>GAGNEF</t>
        </is>
      </c>
      <c r="G83" t="n">
        <v>6.7</v>
      </c>
      <c r="H83" t="n">
        <v>0</v>
      </c>
      <c r="I83" t="n">
        <v>0</v>
      </c>
      <c r="J83" t="n">
        <v>0</v>
      </c>
      <c r="K83" t="n">
        <v>0</v>
      </c>
      <c r="L83" t="n">
        <v>0</v>
      </c>
      <c r="M83" t="n">
        <v>0</v>
      </c>
      <c r="N83" t="n">
        <v>0</v>
      </c>
      <c r="O83" t="n">
        <v>0</v>
      </c>
      <c r="P83" t="n">
        <v>0</v>
      </c>
      <c r="Q83" t="n">
        <v>0</v>
      </c>
      <c r="R83" s="2" t="inlineStr"/>
    </row>
    <row r="84" ht="15" customHeight="1">
      <c r="A84" t="inlineStr">
        <is>
          <t>A 56083-2023</t>
        </is>
      </c>
      <c r="B84" s="1" t="n">
        <v>45240</v>
      </c>
      <c r="C84" s="1" t="n">
        <v>46166</v>
      </c>
      <c r="D84" t="inlineStr">
        <is>
          <t>DALARNAS LÄN</t>
        </is>
      </c>
      <c r="E84" t="inlineStr">
        <is>
          <t>GAGNEF</t>
        </is>
      </c>
      <c r="G84" t="n">
        <v>0.8</v>
      </c>
      <c r="H84" t="n">
        <v>0</v>
      </c>
      <c r="I84" t="n">
        <v>0</v>
      </c>
      <c r="J84" t="n">
        <v>0</v>
      </c>
      <c r="K84" t="n">
        <v>0</v>
      </c>
      <c r="L84" t="n">
        <v>0</v>
      </c>
      <c r="M84" t="n">
        <v>0</v>
      </c>
      <c r="N84" t="n">
        <v>0</v>
      </c>
      <c r="O84" t="n">
        <v>0</v>
      </c>
      <c r="P84" t="n">
        <v>0</v>
      </c>
      <c r="Q84" t="n">
        <v>0</v>
      </c>
      <c r="R84" s="2" t="inlineStr"/>
    </row>
    <row r="85" ht="15" customHeight="1">
      <c r="A85" t="inlineStr">
        <is>
          <t>A 11680-2022</t>
        </is>
      </c>
      <c r="B85" s="1" t="n">
        <v>44634</v>
      </c>
      <c r="C85" s="1" t="n">
        <v>46166</v>
      </c>
      <c r="D85" t="inlineStr">
        <is>
          <t>DALARNAS LÄN</t>
        </is>
      </c>
      <c r="E85" t="inlineStr">
        <is>
          <t>GAGNEF</t>
        </is>
      </c>
      <c r="G85" t="n">
        <v>7.8</v>
      </c>
      <c r="H85" t="n">
        <v>0</v>
      </c>
      <c r="I85" t="n">
        <v>0</v>
      </c>
      <c r="J85" t="n">
        <v>0</v>
      </c>
      <c r="K85" t="n">
        <v>0</v>
      </c>
      <c r="L85" t="n">
        <v>0</v>
      </c>
      <c r="M85" t="n">
        <v>0</v>
      </c>
      <c r="N85" t="n">
        <v>0</v>
      </c>
      <c r="O85" t="n">
        <v>0</v>
      </c>
      <c r="P85" t="n">
        <v>0</v>
      </c>
      <c r="Q85" t="n">
        <v>0</v>
      </c>
      <c r="R85" s="2" t="inlineStr"/>
    </row>
    <row r="86" ht="15" customHeight="1">
      <c r="A86" t="inlineStr">
        <is>
          <t>A 322-2024</t>
        </is>
      </c>
      <c r="B86" s="1" t="n">
        <v>45295</v>
      </c>
      <c r="C86" s="1" t="n">
        <v>46166</v>
      </c>
      <c r="D86" t="inlineStr">
        <is>
          <t>DALARNAS LÄN</t>
        </is>
      </c>
      <c r="E86" t="inlineStr">
        <is>
          <t>GAGNEF</t>
        </is>
      </c>
      <c r="G86" t="n">
        <v>11.1</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46166</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15629-2022</t>
        </is>
      </c>
      <c r="B88" s="1" t="n">
        <v>44662.77332175926</v>
      </c>
      <c r="C88" s="1" t="n">
        <v>46166</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15685-2024</t>
        </is>
      </c>
      <c r="B89" s="1" t="n">
        <v>45404.44038194444</v>
      </c>
      <c r="C89" s="1" t="n">
        <v>46166</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46166</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8006-2025</t>
        </is>
      </c>
      <c r="B91" s="1" t="n">
        <v>45706</v>
      </c>
      <c r="C91" s="1" t="n">
        <v>46166</v>
      </c>
      <c r="D91" t="inlineStr">
        <is>
          <t>DALARNAS LÄN</t>
        </is>
      </c>
      <c r="E91" t="inlineStr">
        <is>
          <t>GAGNEF</t>
        </is>
      </c>
      <c r="G91" t="n">
        <v>2.1</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46166</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46166</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17321-2024</t>
        </is>
      </c>
      <c r="B94" s="1" t="n">
        <v>45414.53782407408</v>
      </c>
      <c r="C94" s="1" t="n">
        <v>46166</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5519-2025</t>
        </is>
      </c>
      <c r="B95" s="1" t="n">
        <v>45693.40930555556</v>
      </c>
      <c r="C95" s="1" t="n">
        <v>46166</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46166</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50536-2024</t>
        </is>
      </c>
      <c r="B97" s="1" t="n">
        <v>45601.56956018518</v>
      </c>
      <c r="C97" s="1" t="n">
        <v>46166</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46166</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46166</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46166</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16118-2023</t>
        </is>
      </c>
      <c r="B101" s="1" t="n">
        <v>45027</v>
      </c>
      <c r="C101" s="1" t="n">
        <v>46166</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16388-2022</t>
        </is>
      </c>
      <c r="B102" s="1" t="n">
        <v>44671</v>
      </c>
      <c r="C102" s="1" t="n">
        <v>46166</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3816-2025</t>
        </is>
      </c>
      <c r="B103" s="1" t="n">
        <v>45681.69211805556</v>
      </c>
      <c r="C103" s="1" t="n">
        <v>46166</v>
      </c>
      <c r="D103" t="inlineStr">
        <is>
          <t>DALARNAS LÄN</t>
        </is>
      </c>
      <c r="E103" t="inlineStr">
        <is>
          <t>GAGNEF</t>
        </is>
      </c>
      <c r="G103" t="n">
        <v>6.1</v>
      </c>
      <c r="H103" t="n">
        <v>0</v>
      </c>
      <c r="I103" t="n">
        <v>0</v>
      </c>
      <c r="J103" t="n">
        <v>0</v>
      </c>
      <c r="K103" t="n">
        <v>0</v>
      </c>
      <c r="L103" t="n">
        <v>0</v>
      </c>
      <c r="M103" t="n">
        <v>0</v>
      </c>
      <c r="N103" t="n">
        <v>0</v>
      </c>
      <c r="O103" t="n">
        <v>0</v>
      </c>
      <c r="P103" t="n">
        <v>0</v>
      </c>
      <c r="Q103" t="n">
        <v>0</v>
      </c>
      <c r="R103" s="2" t="inlineStr"/>
    </row>
    <row r="104" ht="15" customHeight="1">
      <c r="A104" t="inlineStr">
        <is>
          <t>A 34288-2025</t>
        </is>
      </c>
      <c r="B104" s="1" t="n">
        <v>45846.33273148148</v>
      </c>
      <c r="C104" s="1" t="n">
        <v>46166</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34421-2025</t>
        </is>
      </c>
      <c r="B105" s="1" t="n">
        <v>45846.66545138889</v>
      </c>
      <c r="C105" s="1" t="n">
        <v>46166</v>
      </c>
      <c r="D105" t="inlineStr">
        <is>
          <t>DALARNAS LÄN</t>
        </is>
      </c>
      <c r="E105" t="inlineStr">
        <is>
          <t>GAGNEF</t>
        </is>
      </c>
      <c r="G105" t="n">
        <v>2.6</v>
      </c>
      <c r="H105" t="n">
        <v>0</v>
      </c>
      <c r="I105" t="n">
        <v>0</v>
      </c>
      <c r="J105" t="n">
        <v>0</v>
      </c>
      <c r="K105" t="n">
        <v>0</v>
      </c>
      <c r="L105" t="n">
        <v>0</v>
      </c>
      <c r="M105" t="n">
        <v>0</v>
      </c>
      <c r="N105" t="n">
        <v>0</v>
      </c>
      <c r="O105" t="n">
        <v>0</v>
      </c>
      <c r="P105" t="n">
        <v>0</v>
      </c>
      <c r="Q105" t="n">
        <v>0</v>
      </c>
      <c r="R105" s="2" t="inlineStr"/>
    </row>
    <row r="106" ht="15" customHeight="1">
      <c r="A106" t="inlineStr">
        <is>
          <t>A 34436-2025</t>
        </is>
      </c>
      <c r="B106" s="1" t="n">
        <v>45846.68407407407</v>
      </c>
      <c r="C106" s="1" t="n">
        <v>46166</v>
      </c>
      <c r="D106" t="inlineStr">
        <is>
          <t>DALARNAS LÄN</t>
        </is>
      </c>
      <c r="E106" t="inlineStr">
        <is>
          <t>GAGNEF</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35892-2024</t>
        </is>
      </c>
      <c r="B107" s="1" t="n">
        <v>45533.37692129629</v>
      </c>
      <c r="C107" s="1" t="n">
        <v>46166</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22137-2026</t>
        </is>
      </c>
      <c r="B108" s="1" t="n">
        <v>46153.60131944445</v>
      </c>
      <c r="C108" s="1" t="n">
        <v>46166</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34943-2025</t>
        </is>
      </c>
      <c r="B109" s="1" t="n">
        <v>45849</v>
      </c>
      <c r="C109" s="1" t="n">
        <v>46166</v>
      </c>
      <c r="D109" t="inlineStr">
        <is>
          <t>DALARNAS LÄN</t>
        </is>
      </c>
      <c r="E109" t="inlineStr">
        <is>
          <t>GAGNEF</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34793-2025</t>
        </is>
      </c>
      <c r="B110" s="1" t="n">
        <v>45848.73045138889</v>
      </c>
      <c r="C110" s="1" t="n">
        <v>46166</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39112-2025</t>
        </is>
      </c>
      <c r="B111" s="1" t="n">
        <v>45887</v>
      </c>
      <c r="C111" s="1" t="n">
        <v>46166</v>
      </c>
      <c r="D111" t="inlineStr">
        <is>
          <t>DALARNAS LÄN</t>
        </is>
      </c>
      <c r="E111" t="inlineStr">
        <is>
          <t>GAGNEF</t>
        </is>
      </c>
      <c r="G111" t="n">
        <v>3.1</v>
      </c>
      <c r="H111" t="n">
        <v>0</v>
      </c>
      <c r="I111" t="n">
        <v>0</v>
      </c>
      <c r="J111" t="n">
        <v>0</v>
      </c>
      <c r="K111" t="n">
        <v>0</v>
      </c>
      <c r="L111" t="n">
        <v>0</v>
      </c>
      <c r="M111" t="n">
        <v>0</v>
      </c>
      <c r="N111" t="n">
        <v>0</v>
      </c>
      <c r="O111" t="n">
        <v>0</v>
      </c>
      <c r="P111" t="n">
        <v>0</v>
      </c>
      <c r="Q111" t="n">
        <v>0</v>
      </c>
      <c r="R111" s="2" t="inlineStr"/>
    </row>
    <row r="112" ht="15" customHeight="1">
      <c r="A112" t="inlineStr">
        <is>
          <t>A 30668-2024</t>
        </is>
      </c>
      <c r="B112" s="1" t="n">
        <v>45495.71056712963</v>
      </c>
      <c r="C112" s="1" t="n">
        <v>46166</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41366-2023</t>
        </is>
      </c>
      <c r="B113" s="1" t="n">
        <v>45174.84822916667</v>
      </c>
      <c r="C113" s="1" t="n">
        <v>46166</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10744-2022</t>
        </is>
      </c>
      <c r="B114" s="1" t="n">
        <v>44627</v>
      </c>
      <c r="C114" s="1" t="n">
        <v>46166</v>
      </c>
      <c r="D114" t="inlineStr">
        <is>
          <t>DALARNAS LÄN</t>
        </is>
      </c>
      <c r="E114" t="inlineStr">
        <is>
          <t>GAGNEF</t>
        </is>
      </c>
      <c r="G114" t="n">
        <v>5.8</v>
      </c>
      <c r="H114" t="n">
        <v>0</v>
      </c>
      <c r="I114" t="n">
        <v>0</v>
      </c>
      <c r="J114" t="n">
        <v>0</v>
      </c>
      <c r="K114" t="n">
        <v>0</v>
      </c>
      <c r="L114" t="n">
        <v>0</v>
      </c>
      <c r="M114" t="n">
        <v>0</v>
      </c>
      <c r="N114" t="n">
        <v>0</v>
      </c>
      <c r="O114" t="n">
        <v>0</v>
      </c>
      <c r="P114" t="n">
        <v>0</v>
      </c>
      <c r="Q114" t="n">
        <v>0</v>
      </c>
      <c r="R114" s="2" t="inlineStr"/>
    </row>
    <row r="115" ht="15" customHeight="1">
      <c r="A115" t="inlineStr">
        <is>
          <t>A 22405-2026</t>
        </is>
      </c>
      <c r="B115" s="1" t="n">
        <v>46154.6622337963</v>
      </c>
      <c r="C115" s="1" t="n">
        <v>46166</v>
      </c>
      <c r="D115" t="inlineStr">
        <is>
          <t>DALARNAS LÄN</t>
        </is>
      </c>
      <c r="E115" t="inlineStr">
        <is>
          <t>GAGNEF</t>
        </is>
      </c>
      <c r="G115" t="n">
        <v>1.9</v>
      </c>
      <c r="H115" t="n">
        <v>0</v>
      </c>
      <c r="I115" t="n">
        <v>0</v>
      </c>
      <c r="J115" t="n">
        <v>0</v>
      </c>
      <c r="K115" t="n">
        <v>0</v>
      </c>
      <c r="L115" t="n">
        <v>0</v>
      </c>
      <c r="M115" t="n">
        <v>0</v>
      </c>
      <c r="N115" t="n">
        <v>0</v>
      </c>
      <c r="O115" t="n">
        <v>0</v>
      </c>
      <c r="P115" t="n">
        <v>0</v>
      </c>
      <c r="Q115" t="n">
        <v>0</v>
      </c>
      <c r="R115" s="2" t="inlineStr"/>
    </row>
    <row r="116" ht="15" customHeight="1">
      <c r="A116" t="inlineStr">
        <is>
          <t>A 2017-2025</t>
        </is>
      </c>
      <c r="B116" s="1" t="n">
        <v>45672</v>
      </c>
      <c r="C116" s="1" t="n">
        <v>46166</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22445-2026</t>
        </is>
      </c>
      <c r="B117" s="1" t="n">
        <v>46155</v>
      </c>
      <c r="C117" s="1" t="n">
        <v>46166</v>
      </c>
      <c r="D117" t="inlineStr">
        <is>
          <t>DALARNAS LÄN</t>
        </is>
      </c>
      <c r="E117" t="inlineStr">
        <is>
          <t>GAGNEF</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36244-2025</t>
        </is>
      </c>
      <c r="B118" s="1" t="n">
        <v>45867.55569444445</v>
      </c>
      <c r="C118" s="1" t="n">
        <v>46166</v>
      </c>
      <c r="D118" t="inlineStr">
        <is>
          <t>DALARNAS LÄN</t>
        </is>
      </c>
      <c r="E118" t="inlineStr">
        <is>
          <t>GAGNEF</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36232-2025</t>
        </is>
      </c>
      <c r="B119" s="1" t="n">
        <v>45867.54686342592</v>
      </c>
      <c r="C119" s="1" t="n">
        <v>46166</v>
      </c>
      <c r="D119" t="inlineStr">
        <is>
          <t>DALARNAS LÄN</t>
        </is>
      </c>
      <c r="E119" t="inlineStr">
        <is>
          <t>GAGNEF</t>
        </is>
      </c>
      <c r="G119" t="n">
        <v>3.9</v>
      </c>
      <c r="H119" t="n">
        <v>0</v>
      </c>
      <c r="I119" t="n">
        <v>0</v>
      </c>
      <c r="J119" t="n">
        <v>0</v>
      </c>
      <c r="K119" t="n">
        <v>0</v>
      </c>
      <c r="L119" t="n">
        <v>0</v>
      </c>
      <c r="M119" t="n">
        <v>0</v>
      </c>
      <c r="N119" t="n">
        <v>0</v>
      </c>
      <c r="O119" t="n">
        <v>0</v>
      </c>
      <c r="P119" t="n">
        <v>0</v>
      </c>
      <c r="Q119" t="n">
        <v>0</v>
      </c>
      <c r="R119" s="2" t="inlineStr"/>
    </row>
    <row r="120" ht="15" customHeight="1">
      <c r="A120" t="inlineStr">
        <is>
          <t>A 42308-2021</t>
        </is>
      </c>
      <c r="B120" s="1" t="n">
        <v>44427</v>
      </c>
      <c r="C120" s="1" t="n">
        <v>46166</v>
      </c>
      <c r="D120" t="inlineStr">
        <is>
          <t>DALARNAS LÄN</t>
        </is>
      </c>
      <c r="E120" t="inlineStr">
        <is>
          <t>GAGNEF</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36802-2025</t>
        </is>
      </c>
      <c r="B121" s="1" t="n">
        <v>45873.67197916667</v>
      </c>
      <c r="C121" s="1" t="n">
        <v>46166</v>
      </c>
      <c r="D121" t="inlineStr">
        <is>
          <t>DALARNAS LÄN</t>
        </is>
      </c>
      <c r="E121" t="inlineStr">
        <is>
          <t>GAGNEF</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40738-2025</t>
        </is>
      </c>
      <c r="B122" s="1" t="n">
        <v>45897.36666666667</v>
      </c>
      <c r="C122" s="1" t="n">
        <v>46166</v>
      </c>
      <c r="D122" t="inlineStr">
        <is>
          <t>DALARNAS LÄN</t>
        </is>
      </c>
      <c r="E122" t="inlineStr">
        <is>
          <t>GAGNEF</t>
        </is>
      </c>
      <c r="G122" t="n">
        <v>2.8</v>
      </c>
      <c r="H122" t="n">
        <v>0</v>
      </c>
      <c r="I122" t="n">
        <v>0</v>
      </c>
      <c r="J122" t="n">
        <v>0</v>
      </c>
      <c r="K122" t="n">
        <v>0</v>
      </c>
      <c r="L122" t="n">
        <v>0</v>
      </c>
      <c r="M122" t="n">
        <v>0</v>
      </c>
      <c r="N122" t="n">
        <v>0</v>
      </c>
      <c r="O122" t="n">
        <v>0</v>
      </c>
      <c r="P122" t="n">
        <v>0</v>
      </c>
      <c r="Q122" t="n">
        <v>0</v>
      </c>
      <c r="R122" s="2" t="inlineStr"/>
    </row>
    <row r="123" ht="15" customHeight="1">
      <c r="A123" t="inlineStr">
        <is>
          <t>A 18631-2026</t>
        </is>
      </c>
      <c r="B123" s="1" t="n">
        <v>46127</v>
      </c>
      <c r="C123" s="1" t="n">
        <v>46166</v>
      </c>
      <c r="D123" t="inlineStr">
        <is>
          <t>DALARNAS LÄN</t>
        </is>
      </c>
      <c r="E123" t="inlineStr">
        <is>
          <t>GAGNEF</t>
        </is>
      </c>
      <c r="G123" t="n">
        <v>4.3</v>
      </c>
      <c r="H123" t="n">
        <v>0</v>
      </c>
      <c r="I123" t="n">
        <v>0</v>
      </c>
      <c r="J123" t="n">
        <v>0</v>
      </c>
      <c r="K123" t="n">
        <v>0</v>
      </c>
      <c r="L123" t="n">
        <v>0</v>
      </c>
      <c r="M123" t="n">
        <v>0</v>
      </c>
      <c r="N123" t="n">
        <v>0</v>
      </c>
      <c r="O123" t="n">
        <v>0</v>
      </c>
      <c r="P123" t="n">
        <v>0</v>
      </c>
      <c r="Q123" t="n">
        <v>0</v>
      </c>
      <c r="R123" s="2" t="inlineStr"/>
    </row>
    <row r="124" ht="15" customHeight="1">
      <c r="A124" t="inlineStr">
        <is>
          <t>A 36800-2025</t>
        </is>
      </c>
      <c r="B124" s="1" t="n">
        <v>45873</v>
      </c>
      <c r="C124" s="1" t="n">
        <v>46166</v>
      </c>
      <c r="D124" t="inlineStr">
        <is>
          <t>DALARNAS LÄN</t>
        </is>
      </c>
      <c r="E124" t="inlineStr">
        <is>
          <t>GAGNEF</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22383-2026</t>
        </is>
      </c>
      <c r="B125" s="1" t="n">
        <v>46154</v>
      </c>
      <c r="C125" s="1" t="n">
        <v>46166</v>
      </c>
      <c r="D125" t="inlineStr">
        <is>
          <t>DALARNAS LÄN</t>
        </is>
      </c>
      <c r="E125" t="inlineStr">
        <is>
          <t>GAGNEF</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7344-2024</t>
        </is>
      </c>
      <c r="B126" s="1" t="n">
        <v>45345.45414351852</v>
      </c>
      <c r="C126" s="1" t="n">
        <v>46166</v>
      </c>
      <c r="D126" t="inlineStr">
        <is>
          <t>DALARNAS LÄN</t>
        </is>
      </c>
      <c r="E126" t="inlineStr">
        <is>
          <t>GAGNEF</t>
        </is>
      </c>
      <c r="G126" t="n">
        <v>2.3</v>
      </c>
      <c r="H126" t="n">
        <v>0</v>
      </c>
      <c r="I126" t="n">
        <v>0</v>
      </c>
      <c r="J126" t="n">
        <v>0</v>
      </c>
      <c r="K126" t="n">
        <v>0</v>
      </c>
      <c r="L126" t="n">
        <v>0</v>
      </c>
      <c r="M126" t="n">
        <v>0</v>
      </c>
      <c r="N126" t="n">
        <v>0</v>
      </c>
      <c r="O126" t="n">
        <v>0</v>
      </c>
      <c r="P126" t="n">
        <v>0</v>
      </c>
      <c r="Q126" t="n">
        <v>0</v>
      </c>
      <c r="R126" s="2" t="inlineStr"/>
    </row>
    <row r="127" ht="15" customHeight="1">
      <c r="A127" t="inlineStr">
        <is>
          <t>A 36562-2025</t>
        </is>
      </c>
      <c r="B127" s="1" t="n">
        <v>45870</v>
      </c>
      <c r="C127" s="1" t="n">
        <v>46166</v>
      </c>
      <c r="D127" t="inlineStr">
        <is>
          <t>DALARNAS LÄN</t>
        </is>
      </c>
      <c r="E127" t="inlineStr">
        <is>
          <t>GAGNEF</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41065-2025</t>
        </is>
      </c>
      <c r="B128" s="1" t="n">
        <v>45898.41145833334</v>
      </c>
      <c r="C128" s="1" t="n">
        <v>46166</v>
      </c>
      <c r="D128" t="inlineStr">
        <is>
          <t>DALARNAS LÄN</t>
        </is>
      </c>
      <c r="E128" t="inlineStr">
        <is>
          <t>GAGNEF</t>
        </is>
      </c>
      <c r="G128" t="n">
        <v>7.1</v>
      </c>
      <c r="H128" t="n">
        <v>0</v>
      </c>
      <c r="I128" t="n">
        <v>0</v>
      </c>
      <c r="J128" t="n">
        <v>0</v>
      </c>
      <c r="K128" t="n">
        <v>0</v>
      </c>
      <c r="L128" t="n">
        <v>0</v>
      </c>
      <c r="M128" t="n">
        <v>0</v>
      </c>
      <c r="N128" t="n">
        <v>0</v>
      </c>
      <c r="O128" t="n">
        <v>0</v>
      </c>
      <c r="P128" t="n">
        <v>0</v>
      </c>
      <c r="Q128" t="n">
        <v>0</v>
      </c>
      <c r="R128" s="2" t="inlineStr"/>
    </row>
    <row r="129" ht="15" customHeight="1">
      <c r="A129" t="inlineStr">
        <is>
          <t>A 41068-2025</t>
        </is>
      </c>
      <c r="B129" s="1" t="n">
        <v>45898.4143287037</v>
      </c>
      <c r="C129" s="1" t="n">
        <v>46166</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41073-2025</t>
        </is>
      </c>
      <c r="B130" s="1" t="n">
        <v>45898.42114583333</v>
      </c>
      <c r="C130" s="1" t="n">
        <v>46166</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64987-2023</t>
        </is>
      </c>
      <c r="B131" s="1" t="n">
        <v>45285</v>
      </c>
      <c r="C131" s="1" t="n">
        <v>46166</v>
      </c>
      <c r="D131" t="inlineStr">
        <is>
          <t>DALARNAS LÄN</t>
        </is>
      </c>
      <c r="E131" t="inlineStr">
        <is>
          <t>GAGNEF</t>
        </is>
      </c>
      <c r="G131" t="n">
        <v>6.2</v>
      </c>
      <c r="H131" t="n">
        <v>0</v>
      </c>
      <c r="I131" t="n">
        <v>0</v>
      </c>
      <c r="J131" t="n">
        <v>0</v>
      </c>
      <c r="K131" t="n">
        <v>0</v>
      </c>
      <c r="L131" t="n">
        <v>0</v>
      </c>
      <c r="M131" t="n">
        <v>0</v>
      </c>
      <c r="N131" t="n">
        <v>0</v>
      </c>
      <c r="O131" t="n">
        <v>0</v>
      </c>
      <c r="P131" t="n">
        <v>0</v>
      </c>
      <c r="Q131" t="n">
        <v>0</v>
      </c>
      <c r="R131" s="2" t="inlineStr"/>
    </row>
    <row r="132" ht="15" customHeight="1">
      <c r="A132" t="inlineStr">
        <is>
          <t>A 17219-2026</t>
        </is>
      </c>
      <c r="B132" s="1" t="n">
        <v>46119.37150462963</v>
      </c>
      <c r="C132" s="1" t="n">
        <v>46166</v>
      </c>
      <c r="D132" t="inlineStr">
        <is>
          <t>DALARNAS LÄN</t>
        </is>
      </c>
      <c r="E132" t="inlineStr">
        <is>
          <t>GAGNEF</t>
        </is>
      </c>
      <c r="G132" t="n">
        <v>4.3</v>
      </c>
      <c r="H132" t="n">
        <v>0</v>
      </c>
      <c r="I132" t="n">
        <v>0</v>
      </c>
      <c r="J132" t="n">
        <v>0</v>
      </c>
      <c r="K132" t="n">
        <v>0</v>
      </c>
      <c r="L132" t="n">
        <v>0</v>
      </c>
      <c r="M132" t="n">
        <v>0</v>
      </c>
      <c r="N132" t="n">
        <v>0</v>
      </c>
      <c r="O132" t="n">
        <v>0</v>
      </c>
      <c r="P132" t="n">
        <v>0</v>
      </c>
      <c r="Q132" t="n">
        <v>0</v>
      </c>
      <c r="R132" s="2" t="inlineStr"/>
    </row>
    <row r="133" ht="15" customHeight="1">
      <c r="A133" t="inlineStr">
        <is>
          <t>A 7340-2024</t>
        </is>
      </c>
      <c r="B133" s="1" t="n">
        <v>45345.44857638889</v>
      </c>
      <c r="C133" s="1" t="n">
        <v>46166</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16858-2025</t>
        </is>
      </c>
      <c r="B134" s="1" t="n">
        <v>45751</v>
      </c>
      <c r="C134" s="1" t="n">
        <v>46166</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17790-2026</t>
        </is>
      </c>
      <c r="B135" s="1" t="n">
        <v>46122.38435185186</v>
      </c>
      <c r="C135" s="1" t="n">
        <v>46166</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42298-2025</t>
        </is>
      </c>
      <c r="B136" s="1" t="n">
        <v>45904.6405787037</v>
      </c>
      <c r="C136" s="1" t="n">
        <v>46166</v>
      </c>
      <c r="D136" t="inlineStr">
        <is>
          <t>DALARNAS LÄN</t>
        </is>
      </c>
      <c r="E136" t="inlineStr">
        <is>
          <t>GAGNEF</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42303-2025</t>
        </is>
      </c>
      <c r="B137" s="1" t="n">
        <v>45904.64417824074</v>
      </c>
      <c r="C137" s="1" t="n">
        <v>46166</v>
      </c>
      <c r="D137" t="inlineStr">
        <is>
          <t>DALARNAS LÄN</t>
        </is>
      </c>
      <c r="E137" t="inlineStr">
        <is>
          <t>GAGNEF</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3411-2025</t>
        </is>
      </c>
      <c r="B138" s="1" t="n">
        <v>45680.39591435185</v>
      </c>
      <c r="C138" s="1" t="n">
        <v>46166</v>
      </c>
      <c r="D138" t="inlineStr">
        <is>
          <t>DALARNAS LÄN</t>
        </is>
      </c>
      <c r="E138" t="inlineStr">
        <is>
          <t>GAGNEF</t>
        </is>
      </c>
      <c r="G138" t="n">
        <v>5.3</v>
      </c>
      <c r="H138" t="n">
        <v>0</v>
      </c>
      <c r="I138" t="n">
        <v>0</v>
      </c>
      <c r="J138" t="n">
        <v>0</v>
      </c>
      <c r="K138" t="n">
        <v>0</v>
      </c>
      <c r="L138" t="n">
        <v>0</v>
      </c>
      <c r="M138" t="n">
        <v>0</v>
      </c>
      <c r="N138" t="n">
        <v>0</v>
      </c>
      <c r="O138" t="n">
        <v>0</v>
      </c>
      <c r="P138" t="n">
        <v>0</v>
      </c>
      <c r="Q138" t="n">
        <v>0</v>
      </c>
      <c r="R138" s="2" t="inlineStr"/>
    </row>
    <row r="139" ht="15" customHeight="1">
      <c r="A139" t="inlineStr">
        <is>
          <t>A 11261-2026</t>
        </is>
      </c>
      <c r="B139" s="1" t="n">
        <v>46080</v>
      </c>
      <c r="C139" s="1" t="n">
        <v>46166</v>
      </c>
      <c r="D139" t="inlineStr">
        <is>
          <t>DALARNAS LÄN</t>
        </is>
      </c>
      <c r="E139" t="inlineStr">
        <is>
          <t>GAGNEF</t>
        </is>
      </c>
      <c r="G139" t="n">
        <v>1.2</v>
      </c>
      <c r="H139" t="n">
        <v>0</v>
      </c>
      <c r="I139" t="n">
        <v>0</v>
      </c>
      <c r="J139" t="n">
        <v>0</v>
      </c>
      <c r="K139" t="n">
        <v>0</v>
      </c>
      <c r="L139" t="n">
        <v>0</v>
      </c>
      <c r="M139" t="n">
        <v>0</v>
      </c>
      <c r="N139" t="n">
        <v>0</v>
      </c>
      <c r="O139" t="n">
        <v>0</v>
      </c>
      <c r="P139" t="n">
        <v>0</v>
      </c>
      <c r="Q139" t="n">
        <v>0</v>
      </c>
      <c r="R139" s="2" t="inlineStr"/>
    </row>
    <row r="140" ht="15" customHeight="1">
      <c r="A140" t="inlineStr">
        <is>
          <t>A 42166-2025</t>
        </is>
      </c>
      <c r="B140" s="1" t="n">
        <v>45904.42144675926</v>
      </c>
      <c r="C140" s="1" t="n">
        <v>46166</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52439-2024</t>
        </is>
      </c>
      <c r="B141" s="1" t="n">
        <v>45608</v>
      </c>
      <c r="C141" s="1" t="n">
        <v>46166</v>
      </c>
      <c r="D141" t="inlineStr">
        <is>
          <t>DALARNAS LÄN</t>
        </is>
      </c>
      <c r="E141" t="inlineStr">
        <is>
          <t>GAGNEF</t>
        </is>
      </c>
      <c r="G141" t="n">
        <v>3.1</v>
      </c>
      <c r="H141" t="n">
        <v>0</v>
      </c>
      <c r="I141" t="n">
        <v>0</v>
      </c>
      <c r="J141" t="n">
        <v>0</v>
      </c>
      <c r="K141" t="n">
        <v>0</v>
      </c>
      <c r="L141" t="n">
        <v>0</v>
      </c>
      <c r="M141" t="n">
        <v>0</v>
      </c>
      <c r="N141" t="n">
        <v>0</v>
      </c>
      <c r="O141" t="n">
        <v>0</v>
      </c>
      <c r="P141" t="n">
        <v>0</v>
      </c>
      <c r="Q141" t="n">
        <v>0</v>
      </c>
      <c r="R141" s="2" t="inlineStr"/>
    </row>
    <row r="142" ht="15" customHeight="1">
      <c r="A142" t="inlineStr">
        <is>
          <t>A 17732-2026</t>
        </is>
      </c>
      <c r="B142" s="1" t="n">
        <v>46121.900625</v>
      </c>
      <c r="C142" s="1" t="n">
        <v>46166</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42825-2025</t>
        </is>
      </c>
      <c r="B143" s="1" t="n">
        <v>45908</v>
      </c>
      <c r="C143" s="1" t="n">
        <v>46166</v>
      </c>
      <c r="D143" t="inlineStr">
        <is>
          <t>DALARNAS LÄN</t>
        </is>
      </c>
      <c r="E143" t="inlineStr">
        <is>
          <t>GAGNEF</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42850-2025</t>
        </is>
      </c>
      <c r="B144" s="1" t="n">
        <v>45908</v>
      </c>
      <c r="C144" s="1" t="n">
        <v>46166</v>
      </c>
      <c r="D144" t="inlineStr">
        <is>
          <t>DALARNAS LÄN</t>
        </is>
      </c>
      <c r="E144" t="inlineStr">
        <is>
          <t>GAGNEF</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42683-2025</t>
        </is>
      </c>
      <c r="B145" s="1" t="n">
        <v>45908.35057870371</v>
      </c>
      <c r="C145" s="1" t="n">
        <v>46166</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43631-2025</t>
        </is>
      </c>
      <c r="B146" s="1" t="n">
        <v>45911.70527777778</v>
      </c>
      <c r="C146" s="1" t="n">
        <v>46166</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43564-2025</t>
        </is>
      </c>
      <c r="B147" s="1" t="n">
        <v>45911</v>
      </c>
      <c r="C147" s="1" t="n">
        <v>46166</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43633-2025</t>
        </is>
      </c>
      <c r="B148" s="1" t="n">
        <v>45911.70615740741</v>
      </c>
      <c r="C148" s="1" t="n">
        <v>46166</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43457-2025</t>
        </is>
      </c>
      <c r="B149" s="1" t="n">
        <v>45911</v>
      </c>
      <c r="C149" s="1" t="n">
        <v>46166</v>
      </c>
      <c r="D149" t="inlineStr">
        <is>
          <t>DALARNAS LÄN</t>
        </is>
      </c>
      <c r="E149" t="inlineStr">
        <is>
          <t>GAGNEF</t>
        </is>
      </c>
      <c r="F149" t="inlineStr">
        <is>
          <t>Bergvik skog väst AB</t>
        </is>
      </c>
      <c r="G149" t="n">
        <v>6.5</v>
      </c>
      <c r="H149" t="n">
        <v>0</v>
      </c>
      <c r="I149" t="n">
        <v>0</v>
      </c>
      <c r="J149" t="n">
        <v>0</v>
      </c>
      <c r="K149" t="n">
        <v>0</v>
      </c>
      <c r="L149" t="n">
        <v>0</v>
      </c>
      <c r="M149" t="n">
        <v>0</v>
      </c>
      <c r="N149" t="n">
        <v>0</v>
      </c>
      <c r="O149" t="n">
        <v>0</v>
      </c>
      <c r="P149" t="n">
        <v>0</v>
      </c>
      <c r="Q149" t="n">
        <v>0</v>
      </c>
      <c r="R149" s="2" t="inlineStr"/>
    </row>
    <row r="150" ht="15" customHeight="1">
      <c r="A150" t="inlineStr">
        <is>
          <t>A 30672-2024</t>
        </is>
      </c>
      <c r="B150" s="1" t="n">
        <v>45495.81412037037</v>
      </c>
      <c r="C150" s="1" t="n">
        <v>46166</v>
      </c>
      <c r="D150" t="inlineStr">
        <is>
          <t>DALARNAS LÄN</t>
        </is>
      </c>
      <c r="E150" t="inlineStr">
        <is>
          <t>GAGNEF</t>
        </is>
      </c>
      <c r="G150" t="n">
        <v>4.3</v>
      </c>
      <c r="H150" t="n">
        <v>0</v>
      </c>
      <c r="I150" t="n">
        <v>0</v>
      </c>
      <c r="J150" t="n">
        <v>0</v>
      </c>
      <c r="K150" t="n">
        <v>0</v>
      </c>
      <c r="L150" t="n">
        <v>0</v>
      </c>
      <c r="M150" t="n">
        <v>0</v>
      </c>
      <c r="N150" t="n">
        <v>0</v>
      </c>
      <c r="O150" t="n">
        <v>0</v>
      </c>
      <c r="P150" t="n">
        <v>0</v>
      </c>
      <c r="Q150" t="n">
        <v>0</v>
      </c>
      <c r="R150" s="2" t="inlineStr"/>
    </row>
    <row r="151" ht="15" customHeight="1">
      <c r="A151" t="inlineStr">
        <is>
          <t>A 43706-2025</t>
        </is>
      </c>
      <c r="B151" s="1" t="n">
        <v>45912.40556712963</v>
      </c>
      <c r="C151" s="1" t="n">
        <v>46166</v>
      </c>
      <c r="D151" t="inlineStr">
        <is>
          <t>DALARNAS LÄN</t>
        </is>
      </c>
      <c r="E151" t="inlineStr">
        <is>
          <t>GAGNEF</t>
        </is>
      </c>
      <c r="G151" t="n">
        <v>3.4</v>
      </c>
      <c r="H151" t="n">
        <v>0</v>
      </c>
      <c r="I151" t="n">
        <v>0</v>
      </c>
      <c r="J151" t="n">
        <v>0</v>
      </c>
      <c r="K151" t="n">
        <v>0</v>
      </c>
      <c r="L151" t="n">
        <v>0</v>
      </c>
      <c r="M151" t="n">
        <v>0</v>
      </c>
      <c r="N151" t="n">
        <v>0</v>
      </c>
      <c r="O151" t="n">
        <v>0</v>
      </c>
      <c r="P151" t="n">
        <v>0</v>
      </c>
      <c r="Q151" t="n">
        <v>0</v>
      </c>
      <c r="R151" s="2" t="inlineStr"/>
    </row>
    <row r="152" ht="15" customHeight="1">
      <c r="A152" t="inlineStr">
        <is>
          <t>A 43713-2025</t>
        </is>
      </c>
      <c r="B152" s="1" t="n">
        <v>45912.40796296296</v>
      </c>
      <c r="C152" s="1" t="n">
        <v>46166</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12741-2025</t>
        </is>
      </c>
      <c r="B153" s="1" t="n">
        <v>45733.54667824074</v>
      </c>
      <c r="C153" s="1" t="n">
        <v>46166</v>
      </c>
      <c r="D153" t="inlineStr">
        <is>
          <t>DALARNAS LÄN</t>
        </is>
      </c>
      <c r="E153" t="inlineStr">
        <is>
          <t>GAGNEF</t>
        </is>
      </c>
      <c r="G153" t="n">
        <v>4.6</v>
      </c>
      <c r="H153" t="n">
        <v>0</v>
      </c>
      <c r="I153" t="n">
        <v>0</v>
      </c>
      <c r="J153" t="n">
        <v>0</v>
      </c>
      <c r="K153" t="n">
        <v>0</v>
      </c>
      <c r="L153" t="n">
        <v>0</v>
      </c>
      <c r="M153" t="n">
        <v>0</v>
      </c>
      <c r="N153" t="n">
        <v>0</v>
      </c>
      <c r="O153" t="n">
        <v>0</v>
      </c>
      <c r="P153" t="n">
        <v>0</v>
      </c>
      <c r="Q153" t="n">
        <v>0</v>
      </c>
      <c r="R153" s="2" t="inlineStr"/>
    </row>
    <row r="154" ht="15" customHeight="1">
      <c r="A154" t="inlineStr">
        <is>
          <t>A 44587-2025</t>
        </is>
      </c>
      <c r="B154" s="1" t="n">
        <v>45917</v>
      </c>
      <c r="C154" s="1" t="n">
        <v>46166</v>
      </c>
      <c r="D154" t="inlineStr">
        <is>
          <t>DALARNAS LÄN</t>
        </is>
      </c>
      <c r="E154" t="inlineStr">
        <is>
          <t>GAGNEF</t>
        </is>
      </c>
      <c r="F154" t="inlineStr">
        <is>
          <t>Bergvik skog väst AB</t>
        </is>
      </c>
      <c r="G154" t="n">
        <v>10.3</v>
      </c>
      <c r="H154" t="n">
        <v>0</v>
      </c>
      <c r="I154" t="n">
        <v>0</v>
      </c>
      <c r="J154" t="n">
        <v>0</v>
      </c>
      <c r="K154" t="n">
        <v>0</v>
      </c>
      <c r="L154" t="n">
        <v>0</v>
      </c>
      <c r="M154" t="n">
        <v>0</v>
      </c>
      <c r="N154" t="n">
        <v>0</v>
      </c>
      <c r="O154" t="n">
        <v>0</v>
      </c>
      <c r="P154" t="n">
        <v>0</v>
      </c>
      <c r="Q154" t="n">
        <v>0</v>
      </c>
      <c r="R154" s="2" t="inlineStr"/>
    </row>
    <row r="155" ht="15" customHeight="1">
      <c r="A155" t="inlineStr">
        <is>
          <t>A 44380-2025</t>
        </is>
      </c>
      <c r="B155" s="1" t="n">
        <v>45916.48267361111</v>
      </c>
      <c r="C155" s="1" t="n">
        <v>46166</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30667-2024</t>
        </is>
      </c>
      <c r="B156" s="1" t="n">
        <v>45495.70825231481</v>
      </c>
      <c r="C156" s="1" t="n">
        <v>46166</v>
      </c>
      <c r="D156" t="inlineStr">
        <is>
          <t>DALARNAS LÄN</t>
        </is>
      </c>
      <c r="E156" t="inlineStr">
        <is>
          <t>GAGNEF</t>
        </is>
      </c>
      <c r="G156" t="n">
        <v>2</v>
      </c>
      <c r="H156" t="n">
        <v>0</v>
      </c>
      <c r="I156" t="n">
        <v>0</v>
      </c>
      <c r="J156" t="n">
        <v>0</v>
      </c>
      <c r="K156" t="n">
        <v>0</v>
      </c>
      <c r="L156" t="n">
        <v>0</v>
      </c>
      <c r="M156" t="n">
        <v>0</v>
      </c>
      <c r="N156" t="n">
        <v>0</v>
      </c>
      <c r="O156" t="n">
        <v>0</v>
      </c>
      <c r="P156" t="n">
        <v>0</v>
      </c>
      <c r="Q156" t="n">
        <v>0</v>
      </c>
      <c r="R156" s="2" t="inlineStr"/>
    </row>
    <row r="157" ht="15" customHeight="1">
      <c r="A157" t="inlineStr">
        <is>
          <t>A 42715-2024</t>
        </is>
      </c>
      <c r="B157" s="1" t="n">
        <v>45566.45429398148</v>
      </c>
      <c r="C157" s="1" t="n">
        <v>46166</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7601-2024</t>
        </is>
      </c>
      <c r="B158" s="1" t="n">
        <v>45348.55956018518</v>
      </c>
      <c r="C158" s="1" t="n">
        <v>46166</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46166</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46166</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45497-2025</t>
        </is>
      </c>
      <c r="B161" s="1" t="n">
        <v>45922.56707175926</v>
      </c>
      <c r="C161" s="1" t="n">
        <v>46166</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46166</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51251-2023</t>
        </is>
      </c>
      <c r="B163" s="1" t="n">
        <v>45219.48548611111</v>
      </c>
      <c r="C163" s="1" t="n">
        <v>46166</v>
      </c>
      <c r="D163" t="inlineStr">
        <is>
          <t>DALARNAS LÄN</t>
        </is>
      </c>
      <c r="E163" t="inlineStr">
        <is>
          <t>GAGNEF</t>
        </is>
      </c>
      <c r="G163" t="n">
        <v>2.2</v>
      </c>
      <c r="H163" t="n">
        <v>0</v>
      </c>
      <c r="I163" t="n">
        <v>0</v>
      </c>
      <c r="J163" t="n">
        <v>0</v>
      </c>
      <c r="K163" t="n">
        <v>0</v>
      </c>
      <c r="L163" t="n">
        <v>0</v>
      </c>
      <c r="M163" t="n">
        <v>0</v>
      </c>
      <c r="N163" t="n">
        <v>0</v>
      </c>
      <c r="O163" t="n">
        <v>0</v>
      </c>
      <c r="P163" t="n">
        <v>0</v>
      </c>
      <c r="Q163" t="n">
        <v>0</v>
      </c>
      <c r="R163" s="2" t="inlineStr"/>
    </row>
    <row r="164" ht="15" customHeight="1">
      <c r="A164" t="inlineStr">
        <is>
          <t>A 51287-2023</t>
        </is>
      </c>
      <c r="B164" s="1" t="n">
        <v>45219</v>
      </c>
      <c r="C164" s="1" t="n">
        <v>46166</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46166</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47554-2025</t>
        </is>
      </c>
      <c r="B166" s="1" t="n">
        <v>45931.37412037037</v>
      </c>
      <c r="C166" s="1" t="n">
        <v>46166</v>
      </c>
      <c r="D166" t="inlineStr">
        <is>
          <t>DALARNAS LÄN</t>
        </is>
      </c>
      <c r="E166" t="inlineStr">
        <is>
          <t>GAGNEF</t>
        </is>
      </c>
      <c r="G166" t="n">
        <v>1.5</v>
      </c>
      <c r="H166" t="n">
        <v>0</v>
      </c>
      <c r="I166" t="n">
        <v>0</v>
      </c>
      <c r="J166" t="n">
        <v>0</v>
      </c>
      <c r="K166" t="n">
        <v>0</v>
      </c>
      <c r="L166" t="n">
        <v>0</v>
      </c>
      <c r="M166" t="n">
        <v>0</v>
      </c>
      <c r="N166" t="n">
        <v>0</v>
      </c>
      <c r="O166" t="n">
        <v>0</v>
      </c>
      <c r="P166" t="n">
        <v>0</v>
      </c>
      <c r="Q166" t="n">
        <v>0</v>
      </c>
      <c r="R166" s="2" t="inlineStr"/>
    </row>
    <row r="167" ht="15" customHeight="1">
      <c r="A167" t="inlineStr">
        <is>
          <t>A 47560-2025</t>
        </is>
      </c>
      <c r="B167" s="1" t="n">
        <v>45931.38627314815</v>
      </c>
      <c r="C167" s="1" t="n">
        <v>46166</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47685-2025</t>
        </is>
      </c>
      <c r="B168" s="1" t="n">
        <v>45931.58986111111</v>
      </c>
      <c r="C168" s="1" t="n">
        <v>46166</v>
      </c>
      <c r="D168" t="inlineStr">
        <is>
          <t>DALARNAS LÄN</t>
        </is>
      </c>
      <c r="E168" t="inlineStr">
        <is>
          <t>GAGNEF</t>
        </is>
      </c>
      <c r="G168" t="n">
        <v>0.7</v>
      </c>
      <c r="H168" t="n">
        <v>0</v>
      </c>
      <c r="I168" t="n">
        <v>0</v>
      </c>
      <c r="J168" t="n">
        <v>0</v>
      </c>
      <c r="K168" t="n">
        <v>0</v>
      </c>
      <c r="L168" t="n">
        <v>0</v>
      </c>
      <c r="M168" t="n">
        <v>0</v>
      </c>
      <c r="N168" t="n">
        <v>0</v>
      </c>
      <c r="O168" t="n">
        <v>0</v>
      </c>
      <c r="P168" t="n">
        <v>0</v>
      </c>
      <c r="Q168" t="n">
        <v>0</v>
      </c>
      <c r="R168" s="2" t="inlineStr"/>
    </row>
    <row r="169" ht="15" customHeight="1">
      <c r="A169" t="inlineStr">
        <is>
          <t>A 1479-2025</t>
        </is>
      </c>
      <c r="B169" s="1" t="n">
        <v>45670</v>
      </c>
      <c r="C169" s="1" t="n">
        <v>46166</v>
      </c>
      <c r="D169" t="inlineStr">
        <is>
          <t>DALARNAS LÄN</t>
        </is>
      </c>
      <c r="E169" t="inlineStr">
        <is>
          <t>GAGNEF</t>
        </is>
      </c>
      <c r="G169" t="n">
        <v>5.5</v>
      </c>
      <c r="H169" t="n">
        <v>0</v>
      </c>
      <c r="I169" t="n">
        <v>0</v>
      </c>
      <c r="J169" t="n">
        <v>0</v>
      </c>
      <c r="K169" t="n">
        <v>0</v>
      </c>
      <c r="L169" t="n">
        <v>0</v>
      </c>
      <c r="M169" t="n">
        <v>0</v>
      </c>
      <c r="N169" t="n">
        <v>0</v>
      </c>
      <c r="O169" t="n">
        <v>0</v>
      </c>
      <c r="P169" t="n">
        <v>0</v>
      </c>
      <c r="Q169" t="n">
        <v>0</v>
      </c>
      <c r="R169" s="2" t="inlineStr"/>
    </row>
    <row r="170" ht="15" customHeight="1">
      <c r="A170" t="inlineStr">
        <is>
          <t>A 1481-2025</t>
        </is>
      </c>
      <c r="B170" s="1" t="n">
        <v>45670</v>
      </c>
      <c r="C170" s="1" t="n">
        <v>46166</v>
      </c>
      <c r="D170" t="inlineStr">
        <is>
          <t>DALARNAS LÄN</t>
        </is>
      </c>
      <c r="E170" t="inlineStr">
        <is>
          <t>GAGNEF</t>
        </is>
      </c>
      <c r="G170" t="n">
        <v>0.6</v>
      </c>
      <c r="H170" t="n">
        <v>0</v>
      </c>
      <c r="I170" t="n">
        <v>0</v>
      </c>
      <c r="J170" t="n">
        <v>0</v>
      </c>
      <c r="K170" t="n">
        <v>0</v>
      </c>
      <c r="L170" t="n">
        <v>0</v>
      </c>
      <c r="M170" t="n">
        <v>0</v>
      </c>
      <c r="N170" t="n">
        <v>0</v>
      </c>
      <c r="O170" t="n">
        <v>0</v>
      </c>
      <c r="P170" t="n">
        <v>0</v>
      </c>
      <c r="Q170" t="n">
        <v>0</v>
      </c>
      <c r="R170" s="2" t="inlineStr"/>
    </row>
    <row r="171" ht="15" customHeight="1">
      <c r="A171" t="inlineStr">
        <is>
          <t>A 6795-2024</t>
        </is>
      </c>
      <c r="B171" s="1" t="n">
        <v>45342.56087962963</v>
      </c>
      <c r="C171" s="1" t="n">
        <v>46166</v>
      </c>
      <c r="D171" t="inlineStr">
        <is>
          <t>DALARNAS LÄN</t>
        </is>
      </c>
      <c r="E171" t="inlineStr">
        <is>
          <t>GAGNEF</t>
        </is>
      </c>
      <c r="G171" t="n">
        <v>3.6</v>
      </c>
      <c r="H171" t="n">
        <v>0</v>
      </c>
      <c r="I171" t="n">
        <v>0</v>
      </c>
      <c r="J171" t="n">
        <v>0</v>
      </c>
      <c r="K171" t="n">
        <v>0</v>
      </c>
      <c r="L171" t="n">
        <v>0</v>
      </c>
      <c r="M171" t="n">
        <v>0</v>
      </c>
      <c r="N171" t="n">
        <v>0</v>
      </c>
      <c r="O171" t="n">
        <v>0</v>
      </c>
      <c r="P171" t="n">
        <v>0</v>
      </c>
      <c r="Q171" t="n">
        <v>0</v>
      </c>
      <c r="R171" s="2" t="inlineStr"/>
    </row>
    <row r="172" ht="15" customHeight="1">
      <c r="A172" t="inlineStr">
        <is>
          <t>A 47295-2025</t>
        </is>
      </c>
      <c r="B172" s="1" t="n">
        <v>45930.49263888889</v>
      </c>
      <c r="C172" s="1" t="n">
        <v>46166</v>
      </c>
      <c r="D172" t="inlineStr">
        <is>
          <t>DALARNAS LÄN</t>
        </is>
      </c>
      <c r="E172" t="inlineStr">
        <is>
          <t>GAGNEF</t>
        </is>
      </c>
      <c r="G172" t="n">
        <v>3.2</v>
      </c>
      <c r="H172" t="n">
        <v>0</v>
      </c>
      <c r="I172" t="n">
        <v>0</v>
      </c>
      <c r="J172" t="n">
        <v>0</v>
      </c>
      <c r="K172" t="n">
        <v>0</v>
      </c>
      <c r="L172" t="n">
        <v>0</v>
      </c>
      <c r="M172" t="n">
        <v>0</v>
      </c>
      <c r="N172" t="n">
        <v>0</v>
      </c>
      <c r="O172" t="n">
        <v>0</v>
      </c>
      <c r="P172" t="n">
        <v>0</v>
      </c>
      <c r="Q172" t="n">
        <v>0</v>
      </c>
      <c r="R172" s="2" t="inlineStr"/>
    </row>
    <row r="173" ht="15" customHeight="1">
      <c r="A173" t="inlineStr">
        <is>
          <t>A 47669-2025</t>
        </is>
      </c>
      <c r="B173" s="1" t="n">
        <v>45931.57208333333</v>
      </c>
      <c r="C173" s="1" t="n">
        <v>46166</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47470-2025</t>
        </is>
      </c>
      <c r="B174" s="1" t="n">
        <v>45930.67282407408</v>
      </c>
      <c r="C174" s="1" t="n">
        <v>46166</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47285-2025</t>
        </is>
      </c>
      <c r="B175" s="1" t="n">
        <v>45930.48280092593</v>
      </c>
      <c r="C175" s="1" t="n">
        <v>46166</v>
      </c>
      <c r="D175" t="inlineStr">
        <is>
          <t>DALARNAS LÄN</t>
        </is>
      </c>
      <c r="E175" t="inlineStr">
        <is>
          <t>GAGNEF</t>
        </is>
      </c>
      <c r="G175" t="n">
        <v>7.8</v>
      </c>
      <c r="H175" t="n">
        <v>0</v>
      </c>
      <c r="I175" t="n">
        <v>0</v>
      </c>
      <c r="J175" t="n">
        <v>0</v>
      </c>
      <c r="K175" t="n">
        <v>0</v>
      </c>
      <c r="L175" t="n">
        <v>0</v>
      </c>
      <c r="M175" t="n">
        <v>0</v>
      </c>
      <c r="N175" t="n">
        <v>0</v>
      </c>
      <c r="O175" t="n">
        <v>0</v>
      </c>
      <c r="P175" t="n">
        <v>0</v>
      </c>
      <c r="Q175" t="n">
        <v>0</v>
      </c>
      <c r="R175" s="2" t="inlineStr"/>
    </row>
    <row r="176" ht="15" customHeight="1">
      <c r="A176" t="inlineStr">
        <is>
          <t>A 44149-2023</t>
        </is>
      </c>
      <c r="B176" s="1" t="n">
        <v>45188.47653935185</v>
      </c>
      <c r="C176" s="1" t="n">
        <v>46166</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52432-2024</t>
        </is>
      </c>
      <c r="B177" s="1" t="n">
        <v>45608</v>
      </c>
      <c r="C177" s="1" t="n">
        <v>46166</v>
      </c>
      <c r="D177" t="inlineStr">
        <is>
          <t>DALARNAS LÄN</t>
        </is>
      </c>
      <c r="E177" t="inlineStr">
        <is>
          <t>GAGNEF</t>
        </is>
      </c>
      <c r="G177" t="n">
        <v>1.6</v>
      </c>
      <c r="H177" t="n">
        <v>0</v>
      </c>
      <c r="I177" t="n">
        <v>0</v>
      </c>
      <c r="J177" t="n">
        <v>0</v>
      </c>
      <c r="K177" t="n">
        <v>0</v>
      </c>
      <c r="L177" t="n">
        <v>0</v>
      </c>
      <c r="M177" t="n">
        <v>0</v>
      </c>
      <c r="N177" t="n">
        <v>0</v>
      </c>
      <c r="O177" t="n">
        <v>0</v>
      </c>
      <c r="P177" t="n">
        <v>0</v>
      </c>
      <c r="Q177" t="n">
        <v>0</v>
      </c>
      <c r="R177" s="2" t="inlineStr"/>
    </row>
    <row r="178" ht="15" customHeight="1">
      <c r="A178" t="inlineStr">
        <is>
          <t>A 45110-2025</t>
        </is>
      </c>
      <c r="B178" s="1" t="n">
        <v>45919</v>
      </c>
      <c r="C178" s="1" t="n">
        <v>46166</v>
      </c>
      <c r="D178" t="inlineStr">
        <is>
          <t>DALARNAS LÄN</t>
        </is>
      </c>
      <c r="E178" t="inlineStr">
        <is>
          <t>GAGNEF</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44546-2024</t>
        </is>
      </c>
      <c r="B179" s="1" t="n">
        <v>45574</v>
      </c>
      <c r="C179" s="1" t="n">
        <v>46166</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16192-2022</t>
        </is>
      </c>
      <c r="B180" s="1" t="n">
        <v>44669</v>
      </c>
      <c r="C180" s="1" t="n">
        <v>46166</v>
      </c>
      <c r="D180" t="inlineStr">
        <is>
          <t>DALARNAS LÄN</t>
        </is>
      </c>
      <c r="E180" t="inlineStr">
        <is>
          <t>GAGNEF</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49226-2025</t>
        </is>
      </c>
      <c r="B181" s="1" t="n">
        <v>45938.46777777778</v>
      </c>
      <c r="C181" s="1" t="n">
        <v>46166</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46166</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46166</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46166</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45961-2025</t>
        </is>
      </c>
      <c r="B185" s="1" t="n">
        <v>45924</v>
      </c>
      <c r="C185" s="1" t="n">
        <v>46166</v>
      </c>
      <c r="D185" t="inlineStr">
        <is>
          <t>DALARNAS LÄN</t>
        </is>
      </c>
      <c r="E185" t="inlineStr">
        <is>
          <t>GAGNEF</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49762-2025</t>
        </is>
      </c>
      <c r="B186" s="1" t="n">
        <v>45940.3487962963</v>
      </c>
      <c r="C186" s="1" t="n">
        <v>46166</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28591-2024</t>
        </is>
      </c>
      <c r="B187" s="1" t="n">
        <v>45478.41777777778</v>
      </c>
      <c r="C187" s="1" t="n">
        <v>46166</v>
      </c>
      <c r="D187" t="inlineStr">
        <is>
          <t>DALARNAS LÄN</t>
        </is>
      </c>
      <c r="E187" t="inlineStr">
        <is>
          <t>GAGNEF</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40409-2022</t>
        </is>
      </c>
      <c r="B188" s="1" t="n">
        <v>44823.45168981481</v>
      </c>
      <c r="C188" s="1" t="n">
        <v>46166</v>
      </c>
      <c r="D188" t="inlineStr">
        <is>
          <t>DALARNAS LÄN</t>
        </is>
      </c>
      <c r="E188" t="inlineStr">
        <is>
          <t>GAGNEF</t>
        </is>
      </c>
      <c r="G188" t="n">
        <v>3</v>
      </c>
      <c r="H188" t="n">
        <v>0</v>
      </c>
      <c r="I188" t="n">
        <v>0</v>
      </c>
      <c r="J188" t="n">
        <v>0</v>
      </c>
      <c r="K188" t="n">
        <v>0</v>
      </c>
      <c r="L188" t="n">
        <v>0</v>
      </c>
      <c r="M188" t="n">
        <v>0</v>
      </c>
      <c r="N188" t="n">
        <v>0</v>
      </c>
      <c r="O188" t="n">
        <v>0</v>
      </c>
      <c r="P188" t="n">
        <v>0</v>
      </c>
      <c r="Q188" t="n">
        <v>0</v>
      </c>
      <c r="R188" s="2" t="inlineStr"/>
    </row>
    <row r="189" ht="15" customHeight="1">
      <c r="A189" t="inlineStr">
        <is>
          <t>A 49961-2025</t>
        </is>
      </c>
      <c r="B189" s="1" t="n">
        <v>45941.37351851852</v>
      </c>
      <c r="C189" s="1" t="n">
        <v>46166</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49962-2025</t>
        </is>
      </c>
      <c r="B190" s="1" t="n">
        <v>45941.37846064815</v>
      </c>
      <c r="C190" s="1" t="n">
        <v>46166</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7817-2023</t>
        </is>
      </c>
      <c r="B191" s="1" t="n">
        <v>44973.4645949074</v>
      </c>
      <c r="C191" s="1" t="n">
        <v>46166</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44054-2024</t>
        </is>
      </c>
      <c r="B192" s="1" t="n">
        <v>45572.59703703703</v>
      </c>
      <c r="C192" s="1" t="n">
        <v>46166</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46166</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52418-2024</t>
        </is>
      </c>
      <c r="B194" s="1" t="n">
        <v>45609.46230324074</v>
      </c>
      <c r="C194" s="1" t="n">
        <v>46166</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46166</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10717-2024</t>
        </is>
      </c>
      <c r="B196" s="1" t="n">
        <v>45369.46217592592</v>
      </c>
      <c r="C196" s="1" t="n">
        <v>46166</v>
      </c>
      <c r="D196" t="inlineStr">
        <is>
          <t>DALARNAS LÄN</t>
        </is>
      </c>
      <c r="E196" t="inlineStr">
        <is>
          <t>GAGNEF</t>
        </is>
      </c>
      <c r="G196" t="n">
        <v>0.7</v>
      </c>
      <c r="H196" t="n">
        <v>0</v>
      </c>
      <c r="I196" t="n">
        <v>0</v>
      </c>
      <c r="J196" t="n">
        <v>0</v>
      </c>
      <c r="K196" t="n">
        <v>0</v>
      </c>
      <c r="L196" t="n">
        <v>0</v>
      </c>
      <c r="M196" t="n">
        <v>0</v>
      </c>
      <c r="N196" t="n">
        <v>0</v>
      </c>
      <c r="O196" t="n">
        <v>0</v>
      </c>
      <c r="P196" t="n">
        <v>0</v>
      </c>
      <c r="Q196" t="n">
        <v>0</v>
      </c>
      <c r="R196" s="2" t="inlineStr"/>
    </row>
    <row r="197" ht="15" customHeight="1">
      <c r="A197" t="inlineStr">
        <is>
          <t>A 16409-2022</t>
        </is>
      </c>
      <c r="B197" s="1" t="n">
        <v>44671</v>
      </c>
      <c r="C197" s="1" t="n">
        <v>46166</v>
      </c>
      <c r="D197" t="inlineStr">
        <is>
          <t>DALARNAS LÄN</t>
        </is>
      </c>
      <c r="E197" t="inlineStr">
        <is>
          <t>GAGNEF</t>
        </is>
      </c>
      <c r="G197" t="n">
        <v>0.5</v>
      </c>
      <c r="H197" t="n">
        <v>0</v>
      </c>
      <c r="I197" t="n">
        <v>0</v>
      </c>
      <c r="J197" t="n">
        <v>0</v>
      </c>
      <c r="K197" t="n">
        <v>0</v>
      </c>
      <c r="L197" t="n">
        <v>0</v>
      </c>
      <c r="M197" t="n">
        <v>0</v>
      </c>
      <c r="N197" t="n">
        <v>0</v>
      </c>
      <c r="O197" t="n">
        <v>0</v>
      </c>
      <c r="P197" t="n">
        <v>0</v>
      </c>
      <c r="Q197" t="n">
        <v>0</v>
      </c>
      <c r="R197" s="2" t="inlineStr"/>
    </row>
    <row r="198" ht="15" customHeight="1">
      <c r="A198" t="inlineStr">
        <is>
          <t>A 52136-2025</t>
        </is>
      </c>
      <c r="B198" s="1" t="n">
        <v>45952.86512731481</v>
      </c>
      <c r="C198" s="1" t="n">
        <v>46166</v>
      </c>
      <c r="D198" t="inlineStr">
        <is>
          <t>DALARNAS LÄN</t>
        </is>
      </c>
      <c r="E198" t="inlineStr">
        <is>
          <t>GAGNEF</t>
        </is>
      </c>
      <c r="G198" t="n">
        <v>5.8</v>
      </c>
      <c r="H198" t="n">
        <v>0</v>
      </c>
      <c r="I198" t="n">
        <v>0</v>
      </c>
      <c r="J198" t="n">
        <v>0</v>
      </c>
      <c r="K198" t="n">
        <v>0</v>
      </c>
      <c r="L198" t="n">
        <v>0</v>
      </c>
      <c r="M198" t="n">
        <v>0</v>
      </c>
      <c r="N198" t="n">
        <v>0</v>
      </c>
      <c r="O198" t="n">
        <v>0</v>
      </c>
      <c r="P198" t="n">
        <v>0</v>
      </c>
      <c r="Q198" t="n">
        <v>0</v>
      </c>
      <c r="R198" s="2" t="inlineStr"/>
    </row>
    <row r="199" ht="15" customHeight="1">
      <c r="A199" t="inlineStr">
        <is>
          <t>A 52738-2025</t>
        </is>
      </c>
      <c r="B199" s="1" t="n">
        <v>45957.37429398148</v>
      </c>
      <c r="C199" s="1" t="n">
        <v>46166</v>
      </c>
      <c r="D199" t="inlineStr">
        <is>
          <t>DALARNAS LÄN</t>
        </is>
      </c>
      <c r="E199" t="inlineStr">
        <is>
          <t>GAGNEF</t>
        </is>
      </c>
      <c r="G199" t="n">
        <v>2</v>
      </c>
      <c r="H199" t="n">
        <v>0</v>
      </c>
      <c r="I199" t="n">
        <v>0</v>
      </c>
      <c r="J199" t="n">
        <v>0</v>
      </c>
      <c r="K199" t="n">
        <v>0</v>
      </c>
      <c r="L199" t="n">
        <v>0</v>
      </c>
      <c r="M199" t="n">
        <v>0</v>
      </c>
      <c r="N199" t="n">
        <v>0</v>
      </c>
      <c r="O199" t="n">
        <v>0</v>
      </c>
      <c r="P199" t="n">
        <v>0</v>
      </c>
      <c r="Q199" t="n">
        <v>0</v>
      </c>
      <c r="R199" s="2" t="inlineStr"/>
    </row>
    <row r="200" ht="15" customHeight="1">
      <c r="A200" t="inlineStr">
        <is>
          <t>A 52425-2025</t>
        </is>
      </c>
      <c r="B200" s="1" t="n">
        <v>45954.3783912037</v>
      </c>
      <c r="C200" s="1" t="n">
        <v>46166</v>
      </c>
      <c r="D200" t="inlineStr">
        <is>
          <t>DALARNAS LÄN</t>
        </is>
      </c>
      <c r="E200" t="inlineStr">
        <is>
          <t>GAGNEF</t>
        </is>
      </c>
      <c r="G200" t="n">
        <v>7.5</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46166</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53917-2025</t>
        </is>
      </c>
      <c r="B202" s="1" t="n">
        <v>45961</v>
      </c>
      <c r="C202" s="1" t="n">
        <v>46166</v>
      </c>
      <c r="D202" t="inlineStr">
        <is>
          <t>DALARNAS LÄN</t>
        </is>
      </c>
      <c r="E202" t="inlineStr">
        <is>
          <t>GAGNEF</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15670-2024</t>
        </is>
      </c>
      <c r="B203" s="1" t="n">
        <v>45404.39177083333</v>
      </c>
      <c r="C203" s="1" t="n">
        <v>46166</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54285-2025</t>
        </is>
      </c>
      <c r="B204" s="1" t="n">
        <v>45964.79503472222</v>
      </c>
      <c r="C204" s="1" t="n">
        <v>46166</v>
      </c>
      <c r="D204" t="inlineStr">
        <is>
          <t>DALARNAS LÄN</t>
        </is>
      </c>
      <c r="E204" t="inlineStr">
        <is>
          <t>GAGNEF</t>
        </is>
      </c>
      <c r="G204" t="n">
        <v>1.5</v>
      </c>
      <c r="H204" t="n">
        <v>0</v>
      </c>
      <c r="I204" t="n">
        <v>0</v>
      </c>
      <c r="J204" t="n">
        <v>0</v>
      </c>
      <c r="K204" t="n">
        <v>0</v>
      </c>
      <c r="L204" t="n">
        <v>0</v>
      </c>
      <c r="M204" t="n">
        <v>0</v>
      </c>
      <c r="N204" t="n">
        <v>0</v>
      </c>
      <c r="O204" t="n">
        <v>0</v>
      </c>
      <c r="P204" t="n">
        <v>0</v>
      </c>
      <c r="Q204" t="n">
        <v>0</v>
      </c>
      <c r="R204" s="2" t="inlineStr"/>
    </row>
    <row r="205" ht="15" customHeight="1">
      <c r="A205" t="inlineStr">
        <is>
          <t>A 60885-2024</t>
        </is>
      </c>
      <c r="B205" s="1" t="n">
        <v>45644</v>
      </c>
      <c r="C205" s="1" t="n">
        <v>46166</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55838-2025</t>
        </is>
      </c>
      <c r="B206" s="1" t="n">
        <v>45972.89208333333</v>
      </c>
      <c r="C206" s="1" t="n">
        <v>46166</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33034-2021</t>
        </is>
      </c>
      <c r="B207" s="1" t="n">
        <v>44376</v>
      </c>
      <c r="C207" s="1" t="n">
        <v>46166</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63203-2023</t>
        </is>
      </c>
      <c r="B208" s="1" t="n">
        <v>45273.60798611111</v>
      </c>
      <c r="C208" s="1" t="n">
        <v>46166</v>
      </c>
      <c r="D208" t="inlineStr">
        <is>
          <t>DALARNAS LÄN</t>
        </is>
      </c>
      <c r="E208" t="inlineStr">
        <is>
          <t>GAGNEF</t>
        </is>
      </c>
      <c r="G208" t="n">
        <v>3.2</v>
      </c>
      <c r="H208" t="n">
        <v>0</v>
      </c>
      <c r="I208" t="n">
        <v>0</v>
      </c>
      <c r="J208" t="n">
        <v>0</v>
      </c>
      <c r="K208" t="n">
        <v>0</v>
      </c>
      <c r="L208" t="n">
        <v>0</v>
      </c>
      <c r="M208" t="n">
        <v>0</v>
      </c>
      <c r="N208" t="n">
        <v>0</v>
      </c>
      <c r="O208" t="n">
        <v>0</v>
      </c>
      <c r="P208" t="n">
        <v>0</v>
      </c>
      <c r="Q208" t="n">
        <v>0</v>
      </c>
      <c r="R208" s="2" t="inlineStr"/>
    </row>
    <row r="209" ht="15" customHeight="1">
      <c r="A209" t="inlineStr">
        <is>
          <t>A 44336-2024</t>
        </is>
      </c>
      <c r="B209" s="1" t="n">
        <v>45573.61174768519</v>
      </c>
      <c r="C209" s="1" t="n">
        <v>46166</v>
      </c>
      <c r="D209" t="inlineStr">
        <is>
          <t>DALARNAS LÄN</t>
        </is>
      </c>
      <c r="E209" t="inlineStr">
        <is>
          <t>GAGNEF</t>
        </is>
      </c>
      <c r="G209" t="n">
        <v>2.8</v>
      </c>
      <c r="H209" t="n">
        <v>0</v>
      </c>
      <c r="I209" t="n">
        <v>0</v>
      </c>
      <c r="J209" t="n">
        <v>0</v>
      </c>
      <c r="K209" t="n">
        <v>0</v>
      </c>
      <c r="L209" t="n">
        <v>0</v>
      </c>
      <c r="M209" t="n">
        <v>0</v>
      </c>
      <c r="N209" t="n">
        <v>0</v>
      </c>
      <c r="O209" t="n">
        <v>0</v>
      </c>
      <c r="P209" t="n">
        <v>0</v>
      </c>
      <c r="Q209" t="n">
        <v>0</v>
      </c>
      <c r="R209" s="2" t="inlineStr"/>
    </row>
    <row r="210" ht="15" customHeight="1">
      <c r="A210" t="inlineStr">
        <is>
          <t>A 55801-2025</t>
        </is>
      </c>
      <c r="B210" s="1" t="n">
        <v>45972.67065972222</v>
      </c>
      <c r="C210" s="1" t="n">
        <v>46166</v>
      </c>
      <c r="D210" t="inlineStr">
        <is>
          <t>DALARNAS LÄN</t>
        </is>
      </c>
      <c r="E210" t="inlineStr">
        <is>
          <t>GAGNEF</t>
        </is>
      </c>
      <c r="G210" t="n">
        <v>2.9</v>
      </c>
      <c r="H210" t="n">
        <v>0</v>
      </c>
      <c r="I210" t="n">
        <v>0</v>
      </c>
      <c r="J210" t="n">
        <v>0</v>
      </c>
      <c r="K210" t="n">
        <v>0</v>
      </c>
      <c r="L210" t="n">
        <v>0</v>
      </c>
      <c r="M210" t="n">
        <v>0</v>
      </c>
      <c r="N210" t="n">
        <v>0</v>
      </c>
      <c r="O210" t="n">
        <v>0</v>
      </c>
      <c r="P210" t="n">
        <v>0</v>
      </c>
      <c r="Q210" t="n">
        <v>0</v>
      </c>
      <c r="R210" s="2" t="inlineStr"/>
    </row>
    <row r="211" ht="15" customHeight="1">
      <c r="A211" t="inlineStr">
        <is>
          <t>A 19033-2024</t>
        </is>
      </c>
      <c r="B211" s="1" t="n">
        <v>45427.6833449074</v>
      </c>
      <c r="C211" s="1" t="n">
        <v>46166</v>
      </c>
      <c r="D211" t="inlineStr">
        <is>
          <t>DALARNAS LÄN</t>
        </is>
      </c>
      <c r="E211" t="inlineStr">
        <is>
          <t>GAGNEF</t>
        </is>
      </c>
      <c r="G211" t="n">
        <v>7.2</v>
      </c>
      <c r="H211" t="n">
        <v>0</v>
      </c>
      <c r="I211" t="n">
        <v>0</v>
      </c>
      <c r="J211" t="n">
        <v>0</v>
      </c>
      <c r="K211" t="n">
        <v>0</v>
      </c>
      <c r="L211" t="n">
        <v>0</v>
      </c>
      <c r="M211" t="n">
        <v>0</v>
      </c>
      <c r="N211" t="n">
        <v>0</v>
      </c>
      <c r="O211" t="n">
        <v>0</v>
      </c>
      <c r="P211" t="n">
        <v>0</v>
      </c>
      <c r="Q211" t="n">
        <v>0</v>
      </c>
      <c r="R211" s="2" t="inlineStr"/>
    </row>
    <row r="212" ht="15" customHeight="1">
      <c r="A212" t="inlineStr">
        <is>
          <t>A 56461-2025</t>
        </is>
      </c>
      <c r="B212" s="1" t="n">
        <v>45975.36987268519</v>
      </c>
      <c r="C212" s="1" t="n">
        <v>46166</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32848-2024</t>
        </is>
      </c>
      <c r="B213" s="1" t="n">
        <v>45516.63170138889</v>
      </c>
      <c r="C213" s="1" t="n">
        <v>46166</v>
      </c>
      <c r="D213" t="inlineStr">
        <is>
          <t>DALARNAS LÄN</t>
        </is>
      </c>
      <c r="E213" t="inlineStr">
        <is>
          <t>GAGNEF</t>
        </is>
      </c>
      <c r="F213" t="inlineStr">
        <is>
          <t>Bergvik skog väst AB</t>
        </is>
      </c>
      <c r="G213" t="n">
        <v>4.3</v>
      </c>
      <c r="H213" t="n">
        <v>0</v>
      </c>
      <c r="I213" t="n">
        <v>0</v>
      </c>
      <c r="J213" t="n">
        <v>0</v>
      </c>
      <c r="K213" t="n">
        <v>0</v>
      </c>
      <c r="L213" t="n">
        <v>0</v>
      </c>
      <c r="M213" t="n">
        <v>0</v>
      </c>
      <c r="N213" t="n">
        <v>0</v>
      </c>
      <c r="O213" t="n">
        <v>0</v>
      </c>
      <c r="P213" t="n">
        <v>0</v>
      </c>
      <c r="Q213" t="n">
        <v>0</v>
      </c>
      <c r="R213" s="2" t="inlineStr"/>
    </row>
    <row r="214" ht="15" customHeight="1">
      <c r="A214" t="inlineStr">
        <is>
          <t>A 57135-2025</t>
        </is>
      </c>
      <c r="B214" s="1" t="n">
        <v>45979.47457175926</v>
      </c>
      <c r="C214" s="1" t="n">
        <v>46166</v>
      </c>
      <c r="D214" t="inlineStr">
        <is>
          <t>DALARNAS LÄN</t>
        </is>
      </c>
      <c r="E214" t="inlineStr">
        <is>
          <t>GAGNEF</t>
        </is>
      </c>
      <c r="G214" t="n">
        <v>1.9</v>
      </c>
      <c r="H214" t="n">
        <v>0</v>
      </c>
      <c r="I214" t="n">
        <v>0</v>
      </c>
      <c r="J214" t="n">
        <v>0</v>
      </c>
      <c r="K214" t="n">
        <v>0</v>
      </c>
      <c r="L214" t="n">
        <v>0</v>
      </c>
      <c r="M214" t="n">
        <v>0</v>
      </c>
      <c r="N214" t="n">
        <v>0</v>
      </c>
      <c r="O214" t="n">
        <v>0</v>
      </c>
      <c r="P214" t="n">
        <v>0</v>
      </c>
      <c r="Q214" t="n">
        <v>0</v>
      </c>
      <c r="R214" s="2" t="inlineStr"/>
    </row>
    <row r="215" ht="15" customHeight="1">
      <c r="A215" t="inlineStr">
        <is>
          <t>A 48867-2024</t>
        </is>
      </c>
      <c r="B215" s="1" t="n">
        <v>45594.25377314815</v>
      </c>
      <c r="C215" s="1" t="n">
        <v>46166</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12816-2025</t>
        </is>
      </c>
      <c r="B216" s="1" t="n">
        <v>45733.62307870371</v>
      </c>
      <c r="C216" s="1" t="n">
        <v>46166</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44572-2024</t>
        </is>
      </c>
      <c r="B217" s="1" t="n">
        <v>45574</v>
      </c>
      <c r="C217" s="1" t="n">
        <v>46166</v>
      </c>
      <c r="D217" t="inlineStr">
        <is>
          <t>DALARNAS LÄN</t>
        </is>
      </c>
      <c r="E217" t="inlineStr">
        <is>
          <t>GAGNEF</t>
        </is>
      </c>
      <c r="G217" t="n">
        <v>0.8</v>
      </c>
      <c r="H217" t="n">
        <v>0</v>
      </c>
      <c r="I217" t="n">
        <v>0</v>
      </c>
      <c r="J217" t="n">
        <v>0</v>
      </c>
      <c r="K217" t="n">
        <v>0</v>
      </c>
      <c r="L217" t="n">
        <v>0</v>
      </c>
      <c r="M217" t="n">
        <v>0</v>
      </c>
      <c r="N217" t="n">
        <v>0</v>
      </c>
      <c r="O217" t="n">
        <v>0</v>
      </c>
      <c r="P217" t="n">
        <v>0</v>
      </c>
      <c r="Q217" t="n">
        <v>0</v>
      </c>
      <c r="R217" s="2" t="inlineStr"/>
    </row>
    <row r="218" ht="15" customHeight="1">
      <c r="A218" t="inlineStr">
        <is>
          <t>A 59580-2025</t>
        </is>
      </c>
      <c r="B218" s="1" t="n">
        <v>45992.30768518519</v>
      </c>
      <c r="C218" s="1" t="n">
        <v>46166</v>
      </c>
      <c r="D218" t="inlineStr">
        <is>
          <t>DALARNAS LÄN</t>
        </is>
      </c>
      <c r="E218" t="inlineStr">
        <is>
          <t>GAGNEF</t>
        </is>
      </c>
      <c r="G218" t="n">
        <v>4.5</v>
      </c>
      <c r="H218" t="n">
        <v>0</v>
      </c>
      <c r="I218" t="n">
        <v>0</v>
      </c>
      <c r="J218" t="n">
        <v>0</v>
      </c>
      <c r="K218" t="n">
        <v>0</v>
      </c>
      <c r="L218" t="n">
        <v>0</v>
      </c>
      <c r="M218" t="n">
        <v>0</v>
      </c>
      <c r="N218" t="n">
        <v>0</v>
      </c>
      <c r="O218" t="n">
        <v>0</v>
      </c>
      <c r="P218" t="n">
        <v>0</v>
      </c>
      <c r="Q218" t="n">
        <v>0</v>
      </c>
      <c r="R218" s="2" t="inlineStr"/>
    </row>
    <row r="219" ht="15" customHeight="1">
      <c r="A219" t="inlineStr">
        <is>
          <t>A 45596-2023</t>
        </is>
      </c>
      <c r="B219" s="1" t="n">
        <v>45194.64077546296</v>
      </c>
      <c r="C219" s="1" t="n">
        <v>46166</v>
      </c>
      <c r="D219" t="inlineStr">
        <is>
          <t>DALARNAS LÄN</t>
        </is>
      </c>
      <c r="E219" t="inlineStr">
        <is>
          <t>GAGNEF</t>
        </is>
      </c>
      <c r="G219" t="n">
        <v>4.7</v>
      </c>
      <c r="H219" t="n">
        <v>0</v>
      </c>
      <c r="I219" t="n">
        <v>0</v>
      </c>
      <c r="J219" t="n">
        <v>0</v>
      </c>
      <c r="K219" t="n">
        <v>0</v>
      </c>
      <c r="L219" t="n">
        <v>0</v>
      </c>
      <c r="M219" t="n">
        <v>0</v>
      </c>
      <c r="N219" t="n">
        <v>0</v>
      </c>
      <c r="O219" t="n">
        <v>0</v>
      </c>
      <c r="P219" t="n">
        <v>0</v>
      </c>
      <c r="Q219" t="n">
        <v>0</v>
      </c>
      <c r="R219" s="2" t="inlineStr"/>
    </row>
    <row r="220" ht="15" customHeight="1">
      <c r="A220" t="inlineStr">
        <is>
          <t>A 57729-2022</t>
        </is>
      </c>
      <c r="B220" s="1" t="n">
        <v>44897</v>
      </c>
      <c r="C220" s="1" t="n">
        <v>46166</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60572-2025</t>
        </is>
      </c>
      <c r="B221" s="1" t="n">
        <v>45995.94155092593</v>
      </c>
      <c r="C221" s="1" t="n">
        <v>46166</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38444-2024</t>
        </is>
      </c>
      <c r="B222" s="1" t="n">
        <v>45546.42988425926</v>
      </c>
      <c r="C222" s="1" t="n">
        <v>46166</v>
      </c>
      <c r="D222" t="inlineStr">
        <is>
          <t>DALARNAS LÄN</t>
        </is>
      </c>
      <c r="E222" t="inlineStr">
        <is>
          <t>GAGNEF</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60021-2023</t>
        </is>
      </c>
      <c r="B223" s="1" t="n">
        <v>45258</v>
      </c>
      <c r="C223" s="1" t="n">
        <v>46166</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17710-2023</t>
        </is>
      </c>
      <c r="B224" s="1" t="n">
        <v>45037.38356481482</v>
      </c>
      <c r="C224" s="1" t="n">
        <v>46166</v>
      </c>
      <c r="D224" t="inlineStr">
        <is>
          <t>DALARNAS LÄN</t>
        </is>
      </c>
      <c r="E224" t="inlineStr">
        <is>
          <t>GAGNEF</t>
        </is>
      </c>
      <c r="G224" t="n">
        <v>10.7</v>
      </c>
      <c r="H224" t="n">
        <v>0</v>
      </c>
      <c r="I224" t="n">
        <v>0</v>
      </c>
      <c r="J224" t="n">
        <v>0</v>
      </c>
      <c r="K224" t="n">
        <v>0</v>
      </c>
      <c r="L224" t="n">
        <v>0</v>
      </c>
      <c r="M224" t="n">
        <v>0</v>
      </c>
      <c r="N224" t="n">
        <v>0</v>
      </c>
      <c r="O224" t="n">
        <v>0</v>
      </c>
      <c r="P224" t="n">
        <v>0</v>
      </c>
      <c r="Q224" t="n">
        <v>0</v>
      </c>
      <c r="R224" s="2" t="inlineStr"/>
    </row>
    <row r="225" ht="15" customHeight="1">
      <c r="A225" t="inlineStr">
        <is>
          <t>A 17322-2024</t>
        </is>
      </c>
      <c r="B225" s="1" t="n">
        <v>45414.54059027778</v>
      </c>
      <c r="C225" s="1" t="n">
        <v>46166</v>
      </c>
      <c r="D225" t="inlineStr">
        <is>
          <t>DALARNAS LÄN</t>
        </is>
      </c>
      <c r="E225" t="inlineStr">
        <is>
          <t>GAGNEF</t>
        </is>
      </c>
      <c r="G225" t="n">
        <v>2.1</v>
      </c>
      <c r="H225" t="n">
        <v>0</v>
      </c>
      <c r="I225" t="n">
        <v>0</v>
      </c>
      <c r="J225" t="n">
        <v>0</v>
      </c>
      <c r="K225" t="n">
        <v>0</v>
      </c>
      <c r="L225" t="n">
        <v>0</v>
      </c>
      <c r="M225" t="n">
        <v>0</v>
      </c>
      <c r="N225" t="n">
        <v>0</v>
      </c>
      <c r="O225" t="n">
        <v>0</v>
      </c>
      <c r="P225" t="n">
        <v>0</v>
      </c>
      <c r="Q225" t="n">
        <v>0</v>
      </c>
      <c r="R225" s="2" t="inlineStr"/>
    </row>
    <row r="226" ht="15" customHeight="1">
      <c r="A226" t="inlineStr">
        <is>
          <t>A 60308-2024</t>
        </is>
      </c>
      <c r="B226" s="1" t="n">
        <v>45643.34236111111</v>
      </c>
      <c r="C226" s="1" t="n">
        <v>46166</v>
      </c>
      <c r="D226" t="inlineStr">
        <is>
          <t>DALARNAS LÄN</t>
        </is>
      </c>
      <c r="E226" t="inlineStr">
        <is>
          <t>GAGNEF</t>
        </is>
      </c>
      <c r="G226" t="n">
        <v>2.7</v>
      </c>
      <c r="H226" t="n">
        <v>0</v>
      </c>
      <c r="I226" t="n">
        <v>0</v>
      </c>
      <c r="J226" t="n">
        <v>0</v>
      </c>
      <c r="K226" t="n">
        <v>0</v>
      </c>
      <c r="L226" t="n">
        <v>0</v>
      </c>
      <c r="M226" t="n">
        <v>0</v>
      </c>
      <c r="N226" t="n">
        <v>0</v>
      </c>
      <c r="O226" t="n">
        <v>0</v>
      </c>
      <c r="P226" t="n">
        <v>0</v>
      </c>
      <c r="Q226" t="n">
        <v>0</v>
      </c>
      <c r="R226" s="2" t="inlineStr"/>
    </row>
    <row r="227" ht="15" customHeight="1">
      <c r="A227" t="inlineStr">
        <is>
          <t>A 2173-2024</t>
        </is>
      </c>
      <c r="B227" s="1" t="n">
        <v>45309.63329861111</v>
      </c>
      <c r="C227" s="1" t="n">
        <v>46166</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54181-2025</t>
        </is>
      </c>
      <c r="B228" s="1" t="n">
        <v>45964</v>
      </c>
      <c r="C228" s="1" t="n">
        <v>46166</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54178-2025</t>
        </is>
      </c>
      <c r="B229" s="1" t="n">
        <v>45964</v>
      </c>
      <c r="C229" s="1" t="n">
        <v>46166</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46166</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46166</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46166</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63707-2025</t>
        </is>
      </c>
      <c r="B233" s="1" t="n">
        <v>46014.61262731482</v>
      </c>
      <c r="C233" s="1" t="n">
        <v>46166</v>
      </c>
      <c r="D233" t="inlineStr">
        <is>
          <t>DALARNAS LÄN</t>
        </is>
      </c>
      <c r="E233" t="inlineStr">
        <is>
          <t>GAGNEF</t>
        </is>
      </c>
      <c r="G233" t="n">
        <v>6.4</v>
      </c>
      <c r="H233" t="n">
        <v>0</v>
      </c>
      <c r="I233" t="n">
        <v>0</v>
      </c>
      <c r="J233" t="n">
        <v>0</v>
      </c>
      <c r="K233" t="n">
        <v>0</v>
      </c>
      <c r="L233" t="n">
        <v>0</v>
      </c>
      <c r="M233" t="n">
        <v>0</v>
      </c>
      <c r="N233" t="n">
        <v>0</v>
      </c>
      <c r="O233" t="n">
        <v>0</v>
      </c>
      <c r="P233" t="n">
        <v>0</v>
      </c>
      <c r="Q233" t="n">
        <v>0</v>
      </c>
      <c r="R233" s="2" t="inlineStr"/>
    </row>
    <row r="234" ht="15" customHeight="1">
      <c r="A234" t="inlineStr">
        <is>
          <t>A 2443-2024</t>
        </is>
      </c>
      <c r="B234" s="1" t="n">
        <v>45311</v>
      </c>
      <c r="C234" s="1" t="n">
        <v>46166</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46166</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46166</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19954-2025</t>
        </is>
      </c>
      <c r="B237" s="1" t="n">
        <v>45771.65960648148</v>
      </c>
      <c r="C237" s="1" t="n">
        <v>46166</v>
      </c>
      <c r="D237" t="inlineStr">
        <is>
          <t>DALARNAS LÄN</t>
        </is>
      </c>
      <c r="E237" t="inlineStr">
        <is>
          <t>GAGNEF</t>
        </is>
      </c>
      <c r="G237" t="n">
        <v>1.5</v>
      </c>
      <c r="H237" t="n">
        <v>0</v>
      </c>
      <c r="I237" t="n">
        <v>0</v>
      </c>
      <c r="J237" t="n">
        <v>0</v>
      </c>
      <c r="K237" t="n">
        <v>0</v>
      </c>
      <c r="L237" t="n">
        <v>0</v>
      </c>
      <c r="M237" t="n">
        <v>0</v>
      </c>
      <c r="N237" t="n">
        <v>0</v>
      </c>
      <c r="O237" t="n">
        <v>0</v>
      </c>
      <c r="P237" t="n">
        <v>0</v>
      </c>
      <c r="Q237" t="n">
        <v>0</v>
      </c>
      <c r="R237" s="2" t="inlineStr"/>
    </row>
    <row r="238" ht="15" customHeight="1">
      <c r="A238" t="inlineStr">
        <is>
          <t>A 18412-2024</t>
        </is>
      </c>
      <c r="B238" s="1" t="n">
        <v>45425.37940972222</v>
      </c>
      <c r="C238" s="1" t="n">
        <v>46166</v>
      </c>
      <c r="D238" t="inlineStr">
        <is>
          <t>DALARNAS LÄN</t>
        </is>
      </c>
      <c r="E238" t="inlineStr">
        <is>
          <t>GAGNEF</t>
        </is>
      </c>
      <c r="G238" t="n">
        <v>2.9</v>
      </c>
      <c r="H238" t="n">
        <v>0</v>
      </c>
      <c r="I238" t="n">
        <v>0</v>
      </c>
      <c r="J238" t="n">
        <v>0</v>
      </c>
      <c r="K238" t="n">
        <v>0</v>
      </c>
      <c r="L238" t="n">
        <v>0</v>
      </c>
      <c r="M238" t="n">
        <v>0</v>
      </c>
      <c r="N238" t="n">
        <v>0</v>
      </c>
      <c r="O238" t="n">
        <v>0</v>
      </c>
      <c r="P238" t="n">
        <v>0</v>
      </c>
      <c r="Q238" t="n">
        <v>0</v>
      </c>
      <c r="R238" s="2" t="inlineStr"/>
    </row>
    <row r="239" ht="15" customHeight="1">
      <c r="A239" t="inlineStr">
        <is>
          <t>A 37870-2022</t>
        </is>
      </c>
      <c r="B239" s="1" t="n">
        <v>44811.36627314815</v>
      </c>
      <c r="C239" s="1" t="n">
        <v>46166</v>
      </c>
      <c r="D239" t="inlineStr">
        <is>
          <t>DALARNAS LÄN</t>
        </is>
      </c>
      <c r="E239" t="inlineStr">
        <is>
          <t>GAGNEF</t>
        </is>
      </c>
      <c r="G239" t="n">
        <v>2.1</v>
      </c>
      <c r="H239" t="n">
        <v>0</v>
      </c>
      <c r="I239" t="n">
        <v>0</v>
      </c>
      <c r="J239" t="n">
        <v>0</v>
      </c>
      <c r="K239" t="n">
        <v>0</v>
      </c>
      <c r="L239" t="n">
        <v>0</v>
      </c>
      <c r="M239" t="n">
        <v>0</v>
      </c>
      <c r="N239" t="n">
        <v>0</v>
      </c>
      <c r="O239" t="n">
        <v>0</v>
      </c>
      <c r="P239" t="n">
        <v>0</v>
      </c>
      <c r="Q239" t="n">
        <v>0</v>
      </c>
      <c r="R239" s="2" t="inlineStr"/>
    </row>
    <row r="240" ht="15" customHeight="1">
      <c r="A240" t="inlineStr">
        <is>
          <t>A 117-2026</t>
        </is>
      </c>
      <c r="B240" s="1" t="n">
        <v>46024.5670949074</v>
      </c>
      <c r="C240" s="1" t="n">
        <v>46166</v>
      </c>
      <c r="D240" t="inlineStr">
        <is>
          <t>DALARNAS LÄN</t>
        </is>
      </c>
      <c r="E240" t="inlineStr">
        <is>
          <t>GAGNEF</t>
        </is>
      </c>
      <c r="G240" t="n">
        <v>0.7</v>
      </c>
      <c r="H240" t="n">
        <v>0</v>
      </c>
      <c r="I240" t="n">
        <v>0</v>
      </c>
      <c r="J240" t="n">
        <v>0</v>
      </c>
      <c r="K240" t="n">
        <v>0</v>
      </c>
      <c r="L240" t="n">
        <v>0</v>
      </c>
      <c r="M240" t="n">
        <v>0</v>
      </c>
      <c r="N240" t="n">
        <v>0</v>
      </c>
      <c r="O240" t="n">
        <v>0</v>
      </c>
      <c r="P240" t="n">
        <v>0</v>
      </c>
      <c r="Q240" t="n">
        <v>0</v>
      </c>
      <c r="R240" s="2" t="inlineStr"/>
    </row>
    <row r="241" ht="15" customHeight="1">
      <c r="A241" t="inlineStr">
        <is>
          <t>A 120-2026</t>
        </is>
      </c>
      <c r="B241" s="1" t="n">
        <v>46024.57240740741</v>
      </c>
      <c r="C241" s="1" t="n">
        <v>46166</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115-2026</t>
        </is>
      </c>
      <c r="B242" s="1" t="n">
        <v>46024.56222222222</v>
      </c>
      <c r="C242" s="1" t="n">
        <v>46166</v>
      </c>
      <c r="D242" t="inlineStr">
        <is>
          <t>DALARNAS LÄN</t>
        </is>
      </c>
      <c r="E242" t="inlineStr">
        <is>
          <t>GAGNEF</t>
        </is>
      </c>
      <c r="G242" t="n">
        <v>1.1</v>
      </c>
      <c r="H242" t="n">
        <v>0</v>
      </c>
      <c r="I242" t="n">
        <v>0</v>
      </c>
      <c r="J242" t="n">
        <v>0</v>
      </c>
      <c r="K242" t="n">
        <v>0</v>
      </c>
      <c r="L242" t="n">
        <v>0</v>
      </c>
      <c r="M242" t="n">
        <v>0</v>
      </c>
      <c r="N242" t="n">
        <v>0</v>
      </c>
      <c r="O242" t="n">
        <v>0</v>
      </c>
      <c r="P242" t="n">
        <v>0</v>
      </c>
      <c r="Q242" t="n">
        <v>0</v>
      </c>
      <c r="R242" s="2" t="inlineStr"/>
    </row>
    <row r="243" ht="15" customHeight="1">
      <c r="A243" t="inlineStr">
        <is>
          <t>A 126-2026</t>
        </is>
      </c>
      <c r="B243" s="1" t="n">
        <v>46024.59197916667</v>
      </c>
      <c r="C243" s="1" t="n">
        <v>46166</v>
      </c>
      <c r="D243" t="inlineStr">
        <is>
          <t>DALARNAS LÄN</t>
        </is>
      </c>
      <c r="E243" t="inlineStr">
        <is>
          <t>GAGNEF</t>
        </is>
      </c>
      <c r="G243" t="n">
        <v>0.8</v>
      </c>
      <c r="H243" t="n">
        <v>0</v>
      </c>
      <c r="I243" t="n">
        <v>0</v>
      </c>
      <c r="J243" t="n">
        <v>0</v>
      </c>
      <c r="K243" t="n">
        <v>0</v>
      </c>
      <c r="L243" t="n">
        <v>0</v>
      </c>
      <c r="M243" t="n">
        <v>0</v>
      </c>
      <c r="N243" t="n">
        <v>0</v>
      </c>
      <c r="O243" t="n">
        <v>0</v>
      </c>
      <c r="P243" t="n">
        <v>0</v>
      </c>
      <c r="Q243" t="n">
        <v>0</v>
      </c>
      <c r="R243" s="2" t="inlineStr"/>
    </row>
    <row r="244" ht="15" customHeight="1">
      <c r="A244" t="inlineStr">
        <is>
          <t>A 245-2026</t>
        </is>
      </c>
      <c r="B244" s="1" t="n">
        <v>46027</v>
      </c>
      <c r="C244" s="1" t="n">
        <v>46166</v>
      </c>
      <c r="D244" t="inlineStr">
        <is>
          <t>DALARNAS LÄN</t>
        </is>
      </c>
      <c r="E244" t="inlineStr">
        <is>
          <t>GAGNEF</t>
        </is>
      </c>
      <c r="G244" t="n">
        <v>6.4</v>
      </c>
      <c r="H244" t="n">
        <v>0</v>
      </c>
      <c r="I244" t="n">
        <v>0</v>
      </c>
      <c r="J244" t="n">
        <v>0</v>
      </c>
      <c r="K244" t="n">
        <v>0</v>
      </c>
      <c r="L244" t="n">
        <v>0</v>
      </c>
      <c r="M244" t="n">
        <v>0</v>
      </c>
      <c r="N244" t="n">
        <v>0</v>
      </c>
      <c r="O244" t="n">
        <v>0</v>
      </c>
      <c r="P244" t="n">
        <v>0</v>
      </c>
      <c r="Q244" t="n">
        <v>0</v>
      </c>
      <c r="R244" s="2" t="inlineStr"/>
    </row>
    <row r="245" ht="15" customHeight="1">
      <c r="A245" t="inlineStr">
        <is>
          <t>A 42677-2024</t>
        </is>
      </c>
      <c r="B245" s="1" t="n">
        <v>45566.37476851852</v>
      </c>
      <c r="C245" s="1" t="n">
        <v>46166</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55-2026</t>
        </is>
      </c>
      <c r="B246" s="1" t="n">
        <v>46024.4365625</v>
      </c>
      <c r="C246" s="1" t="n">
        <v>46166</v>
      </c>
      <c r="D246" t="inlineStr">
        <is>
          <t>DALARNAS LÄN</t>
        </is>
      </c>
      <c r="E246" t="inlineStr">
        <is>
          <t>GAGNEF</t>
        </is>
      </c>
      <c r="G246" t="n">
        <v>6.5</v>
      </c>
      <c r="H246" t="n">
        <v>0</v>
      </c>
      <c r="I246" t="n">
        <v>0</v>
      </c>
      <c r="J246" t="n">
        <v>0</v>
      </c>
      <c r="K246" t="n">
        <v>0</v>
      </c>
      <c r="L246" t="n">
        <v>0</v>
      </c>
      <c r="M246" t="n">
        <v>0</v>
      </c>
      <c r="N246" t="n">
        <v>0</v>
      </c>
      <c r="O246" t="n">
        <v>0</v>
      </c>
      <c r="P246" t="n">
        <v>0</v>
      </c>
      <c r="Q246" t="n">
        <v>0</v>
      </c>
      <c r="R246" s="2" t="inlineStr"/>
    </row>
    <row r="247" ht="15" customHeight="1">
      <c r="A247" t="inlineStr">
        <is>
          <t>A 134-2026</t>
        </is>
      </c>
      <c r="B247" s="1" t="n">
        <v>46024.60538194444</v>
      </c>
      <c r="C247" s="1" t="n">
        <v>46166</v>
      </c>
      <c r="D247" t="inlineStr">
        <is>
          <t>DALARNAS LÄN</t>
        </is>
      </c>
      <c r="E247" t="inlineStr">
        <is>
          <t>GAGNEF</t>
        </is>
      </c>
      <c r="G247" t="n">
        <v>4.7</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46166</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340-2026</t>
        </is>
      </c>
      <c r="B249" s="1" t="n">
        <v>46027</v>
      </c>
      <c r="C249" s="1" t="n">
        <v>46166</v>
      </c>
      <c r="D249" t="inlineStr">
        <is>
          <t>DALARNAS LÄN</t>
        </is>
      </c>
      <c r="E249" t="inlineStr">
        <is>
          <t>GAGNEF</t>
        </is>
      </c>
      <c r="G249" t="n">
        <v>3.3</v>
      </c>
      <c r="H249" t="n">
        <v>0</v>
      </c>
      <c r="I249" t="n">
        <v>0</v>
      </c>
      <c r="J249" t="n">
        <v>0</v>
      </c>
      <c r="K249" t="n">
        <v>0</v>
      </c>
      <c r="L249" t="n">
        <v>0</v>
      </c>
      <c r="M249" t="n">
        <v>0</v>
      </c>
      <c r="N249" t="n">
        <v>0</v>
      </c>
      <c r="O249" t="n">
        <v>0</v>
      </c>
      <c r="P249" t="n">
        <v>0</v>
      </c>
      <c r="Q249" t="n">
        <v>0</v>
      </c>
      <c r="R249" s="2" t="inlineStr"/>
    </row>
    <row r="250" ht="15" customHeight="1">
      <c r="A250" t="inlineStr">
        <is>
          <t>A 301-2026</t>
        </is>
      </c>
      <c r="B250" s="1" t="n">
        <v>46027.52238425926</v>
      </c>
      <c r="C250" s="1" t="n">
        <v>46166</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39367-2023</t>
        </is>
      </c>
      <c r="B251" s="1" t="n">
        <v>45166</v>
      </c>
      <c r="C251" s="1" t="n">
        <v>46166</v>
      </c>
      <c r="D251" t="inlineStr">
        <is>
          <t>DALARNAS LÄN</t>
        </is>
      </c>
      <c r="E251" t="inlineStr">
        <is>
          <t>GAGNEF</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1367-2026</t>
        </is>
      </c>
      <c r="B252" s="1" t="n">
        <v>46031</v>
      </c>
      <c r="C252" s="1" t="n">
        <v>46166</v>
      </c>
      <c r="D252" t="inlineStr">
        <is>
          <t>DALARNAS LÄN</t>
        </is>
      </c>
      <c r="E252" t="inlineStr">
        <is>
          <t>GAGNEF</t>
        </is>
      </c>
      <c r="G252" t="n">
        <v>14.8</v>
      </c>
      <c r="H252" t="n">
        <v>0</v>
      </c>
      <c r="I252" t="n">
        <v>0</v>
      </c>
      <c r="J252" t="n">
        <v>0</v>
      </c>
      <c r="K252" t="n">
        <v>0</v>
      </c>
      <c r="L252" t="n">
        <v>0</v>
      </c>
      <c r="M252" t="n">
        <v>0</v>
      </c>
      <c r="N252" t="n">
        <v>0</v>
      </c>
      <c r="O252" t="n">
        <v>0</v>
      </c>
      <c r="P252" t="n">
        <v>0</v>
      </c>
      <c r="Q252" t="n">
        <v>0</v>
      </c>
      <c r="R252" s="2" t="inlineStr"/>
    </row>
    <row r="253" ht="15" customHeight="1">
      <c r="A253" t="inlineStr">
        <is>
          <t>A 1421-2026</t>
        </is>
      </c>
      <c r="B253" s="1" t="n">
        <v>46031</v>
      </c>
      <c r="C253" s="1" t="n">
        <v>46166</v>
      </c>
      <c r="D253" t="inlineStr">
        <is>
          <t>DALARNAS LÄN</t>
        </is>
      </c>
      <c r="E253" t="inlineStr">
        <is>
          <t>GAGNEF</t>
        </is>
      </c>
      <c r="G253" t="n">
        <v>6.6</v>
      </c>
      <c r="H253" t="n">
        <v>0</v>
      </c>
      <c r="I253" t="n">
        <v>0</v>
      </c>
      <c r="J253" t="n">
        <v>0</v>
      </c>
      <c r="K253" t="n">
        <v>0</v>
      </c>
      <c r="L253" t="n">
        <v>0</v>
      </c>
      <c r="M253" t="n">
        <v>0</v>
      </c>
      <c r="N253" t="n">
        <v>0</v>
      </c>
      <c r="O253" t="n">
        <v>0</v>
      </c>
      <c r="P253" t="n">
        <v>0</v>
      </c>
      <c r="Q253" t="n">
        <v>0</v>
      </c>
      <c r="R253" s="2" t="inlineStr"/>
    </row>
    <row r="254" ht="15" customHeight="1">
      <c r="A254" t="inlineStr">
        <is>
          <t>A 1276-2026</t>
        </is>
      </c>
      <c r="B254" s="1" t="n">
        <v>46031.47527777778</v>
      </c>
      <c r="C254" s="1" t="n">
        <v>46166</v>
      </c>
      <c r="D254" t="inlineStr">
        <is>
          <t>DALARNAS LÄN</t>
        </is>
      </c>
      <c r="E254" t="inlineStr">
        <is>
          <t>GAGNEF</t>
        </is>
      </c>
      <c r="G254" t="n">
        <v>5.6</v>
      </c>
      <c r="H254" t="n">
        <v>0</v>
      </c>
      <c r="I254" t="n">
        <v>0</v>
      </c>
      <c r="J254" t="n">
        <v>0</v>
      </c>
      <c r="K254" t="n">
        <v>0</v>
      </c>
      <c r="L254" t="n">
        <v>0</v>
      </c>
      <c r="M254" t="n">
        <v>0</v>
      </c>
      <c r="N254" t="n">
        <v>0</v>
      </c>
      <c r="O254" t="n">
        <v>0</v>
      </c>
      <c r="P254" t="n">
        <v>0</v>
      </c>
      <c r="Q254" t="n">
        <v>0</v>
      </c>
      <c r="R254" s="2" t="inlineStr"/>
    </row>
    <row r="255" ht="15" customHeight="1">
      <c r="A255" t="inlineStr">
        <is>
          <t>A 63648-2023</t>
        </is>
      </c>
      <c r="B255" s="1" t="n">
        <v>45275</v>
      </c>
      <c r="C255" s="1" t="n">
        <v>46166</v>
      </c>
      <c r="D255" t="inlineStr">
        <is>
          <t>DALARNAS LÄN</t>
        </is>
      </c>
      <c r="E255" t="inlineStr">
        <is>
          <t>GAGNEF</t>
        </is>
      </c>
      <c r="G255" t="n">
        <v>0.3</v>
      </c>
      <c r="H255" t="n">
        <v>0</v>
      </c>
      <c r="I255" t="n">
        <v>0</v>
      </c>
      <c r="J255" t="n">
        <v>0</v>
      </c>
      <c r="K255" t="n">
        <v>0</v>
      </c>
      <c r="L255" t="n">
        <v>0</v>
      </c>
      <c r="M255" t="n">
        <v>0</v>
      </c>
      <c r="N255" t="n">
        <v>0</v>
      </c>
      <c r="O255" t="n">
        <v>0</v>
      </c>
      <c r="P255" t="n">
        <v>0</v>
      </c>
      <c r="Q255" t="n">
        <v>0</v>
      </c>
      <c r="R255" s="2" t="inlineStr"/>
    </row>
    <row r="256" ht="15" customHeight="1">
      <c r="A256" t="inlineStr">
        <is>
          <t>A 1411-2026</t>
        </is>
      </c>
      <c r="B256" s="1" t="n">
        <v>46031.66760416667</v>
      </c>
      <c r="C256" s="1" t="n">
        <v>46166</v>
      </c>
      <c r="D256" t="inlineStr">
        <is>
          <t>DALARNAS LÄN</t>
        </is>
      </c>
      <c r="E256" t="inlineStr">
        <is>
          <t>GAGNEF</t>
        </is>
      </c>
      <c r="G256" t="n">
        <v>3</v>
      </c>
      <c r="H256" t="n">
        <v>0</v>
      </c>
      <c r="I256" t="n">
        <v>0</v>
      </c>
      <c r="J256" t="n">
        <v>0</v>
      </c>
      <c r="K256" t="n">
        <v>0</v>
      </c>
      <c r="L256" t="n">
        <v>0</v>
      </c>
      <c r="M256" t="n">
        <v>0</v>
      </c>
      <c r="N256" t="n">
        <v>0</v>
      </c>
      <c r="O256" t="n">
        <v>0</v>
      </c>
      <c r="P256" t="n">
        <v>0</v>
      </c>
      <c r="Q256" t="n">
        <v>0</v>
      </c>
      <c r="R256" s="2" t="inlineStr"/>
    </row>
    <row r="257" ht="15" customHeight="1">
      <c r="A257" t="inlineStr">
        <is>
          <t>A 1413-2026</t>
        </is>
      </c>
      <c r="B257" s="1" t="n">
        <v>46031.68702546296</v>
      </c>
      <c r="C257" s="1" t="n">
        <v>46166</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1100-2026</t>
        </is>
      </c>
      <c r="B258" s="1" t="n">
        <v>46030.6665625</v>
      </c>
      <c r="C258" s="1" t="n">
        <v>46166</v>
      </c>
      <c r="D258" t="inlineStr">
        <is>
          <t>DALARNAS LÄN</t>
        </is>
      </c>
      <c r="E258" t="inlineStr">
        <is>
          <t>GAGNEF</t>
        </is>
      </c>
      <c r="G258" t="n">
        <v>10.7</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46166</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35526-2024</t>
        </is>
      </c>
      <c r="B260" s="1" t="n">
        <v>45531.58143518519</v>
      </c>
      <c r="C260" s="1" t="n">
        <v>46166</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1432-2026</t>
        </is>
      </c>
      <c r="B261" s="1" t="n">
        <v>46032.41707175926</v>
      </c>
      <c r="C261" s="1" t="n">
        <v>46166</v>
      </c>
      <c r="D261" t="inlineStr">
        <is>
          <t>DALARNAS LÄN</t>
        </is>
      </c>
      <c r="E261" t="inlineStr">
        <is>
          <t>GAGNEF</t>
        </is>
      </c>
      <c r="G261" t="n">
        <v>1.1</v>
      </c>
      <c r="H261" t="n">
        <v>0</v>
      </c>
      <c r="I261" t="n">
        <v>0</v>
      </c>
      <c r="J261" t="n">
        <v>0</v>
      </c>
      <c r="K261" t="n">
        <v>0</v>
      </c>
      <c r="L261" t="n">
        <v>0</v>
      </c>
      <c r="M261" t="n">
        <v>0</v>
      </c>
      <c r="N261" t="n">
        <v>0</v>
      </c>
      <c r="O261" t="n">
        <v>0</v>
      </c>
      <c r="P261" t="n">
        <v>0</v>
      </c>
      <c r="Q261" t="n">
        <v>0</v>
      </c>
      <c r="R261" s="2" t="inlineStr"/>
    </row>
    <row r="262" ht="15" customHeight="1">
      <c r="A262" t="inlineStr">
        <is>
          <t>A 1430-2026</t>
        </is>
      </c>
      <c r="B262" s="1" t="n">
        <v>46032.39976851852</v>
      </c>
      <c r="C262" s="1" t="n">
        <v>46166</v>
      </c>
      <c r="D262" t="inlineStr">
        <is>
          <t>DALARNAS LÄN</t>
        </is>
      </c>
      <c r="E262" t="inlineStr">
        <is>
          <t>GAGNEF</t>
        </is>
      </c>
      <c r="G262" t="n">
        <v>4.2</v>
      </c>
      <c r="H262" t="n">
        <v>0</v>
      </c>
      <c r="I262" t="n">
        <v>0</v>
      </c>
      <c r="J262" t="n">
        <v>0</v>
      </c>
      <c r="K262" t="n">
        <v>0</v>
      </c>
      <c r="L262" t="n">
        <v>0</v>
      </c>
      <c r="M262" t="n">
        <v>0</v>
      </c>
      <c r="N262" t="n">
        <v>0</v>
      </c>
      <c r="O262" t="n">
        <v>0</v>
      </c>
      <c r="P262" t="n">
        <v>0</v>
      </c>
      <c r="Q262" t="n">
        <v>0</v>
      </c>
      <c r="R262" s="2" t="inlineStr"/>
    </row>
    <row r="263" ht="15" customHeight="1">
      <c r="A263" t="inlineStr">
        <is>
          <t>A 1431-2026</t>
        </is>
      </c>
      <c r="B263" s="1" t="n">
        <v>46032.41365740741</v>
      </c>
      <c r="C263" s="1" t="n">
        <v>46166</v>
      </c>
      <c r="D263" t="inlineStr">
        <is>
          <t>DALARNAS LÄN</t>
        </is>
      </c>
      <c r="E263" t="inlineStr">
        <is>
          <t>GAGNEF</t>
        </is>
      </c>
      <c r="G263" t="n">
        <v>8.4</v>
      </c>
      <c r="H263" t="n">
        <v>0</v>
      </c>
      <c r="I263" t="n">
        <v>0</v>
      </c>
      <c r="J263" t="n">
        <v>0</v>
      </c>
      <c r="K263" t="n">
        <v>0</v>
      </c>
      <c r="L263" t="n">
        <v>0</v>
      </c>
      <c r="M263" t="n">
        <v>0</v>
      </c>
      <c r="N263" t="n">
        <v>0</v>
      </c>
      <c r="O263" t="n">
        <v>0</v>
      </c>
      <c r="P263" t="n">
        <v>0</v>
      </c>
      <c r="Q263" t="n">
        <v>0</v>
      </c>
      <c r="R263" s="2" t="inlineStr"/>
    </row>
    <row r="264" ht="15" customHeight="1">
      <c r="A264" t="inlineStr">
        <is>
          <t>A 1584-2026</t>
        </is>
      </c>
      <c r="B264" s="1" t="n">
        <v>46034.43663194445</v>
      </c>
      <c r="C264" s="1" t="n">
        <v>46166</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2393-2026</t>
        </is>
      </c>
      <c r="B265" s="1" t="n">
        <v>46036.67758101852</v>
      </c>
      <c r="C265" s="1" t="n">
        <v>46166</v>
      </c>
      <c r="D265" t="inlineStr">
        <is>
          <t>DALARNAS LÄN</t>
        </is>
      </c>
      <c r="E265" t="inlineStr">
        <is>
          <t>GAGNEF</t>
        </is>
      </c>
      <c r="G265" t="n">
        <v>12.4</v>
      </c>
      <c r="H265" t="n">
        <v>0</v>
      </c>
      <c r="I265" t="n">
        <v>0</v>
      </c>
      <c r="J265" t="n">
        <v>0</v>
      </c>
      <c r="K265" t="n">
        <v>0</v>
      </c>
      <c r="L265" t="n">
        <v>0</v>
      </c>
      <c r="M265" t="n">
        <v>0</v>
      </c>
      <c r="N265" t="n">
        <v>0</v>
      </c>
      <c r="O265" t="n">
        <v>0</v>
      </c>
      <c r="P265" t="n">
        <v>0</v>
      </c>
      <c r="Q265" t="n">
        <v>0</v>
      </c>
      <c r="R265" s="2" t="inlineStr"/>
    </row>
    <row r="266" ht="15" customHeight="1">
      <c r="A266" t="inlineStr">
        <is>
          <t>A 2707-2026</t>
        </is>
      </c>
      <c r="B266" s="1" t="n">
        <v>46037.71488425926</v>
      </c>
      <c r="C266" s="1" t="n">
        <v>46166</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2172-2026</t>
        </is>
      </c>
      <c r="B267" s="1" t="n">
        <v>46036.44976851852</v>
      </c>
      <c r="C267" s="1" t="n">
        <v>46166</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3125-2026</t>
        </is>
      </c>
      <c r="B268" s="1" t="n">
        <v>46041</v>
      </c>
      <c r="C268" s="1" t="n">
        <v>46166</v>
      </c>
      <c r="D268" t="inlineStr">
        <is>
          <t>DALARNAS LÄN</t>
        </is>
      </c>
      <c r="E268" t="inlineStr">
        <is>
          <t>GAGNEF</t>
        </is>
      </c>
      <c r="G268" t="n">
        <v>3.3</v>
      </c>
      <c r="H268" t="n">
        <v>0</v>
      </c>
      <c r="I268" t="n">
        <v>0</v>
      </c>
      <c r="J268" t="n">
        <v>0</v>
      </c>
      <c r="K268" t="n">
        <v>0</v>
      </c>
      <c r="L268" t="n">
        <v>0</v>
      </c>
      <c r="M268" t="n">
        <v>0</v>
      </c>
      <c r="N268" t="n">
        <v>0</v>
      </c>
      <c r="O268" t="n">
        <v>0</v>
      </c>
      <c r="P268" t="n">
        <v>0</v>
      </c>
      <c r="Q268" t="n">
        <v>0</v>
      </c>
      <c r="R268" s="2" t="inlineStr"/>
    </row>
    <row r="269" ht="15" customHeight="1">
      <c r="A269" t="inlineStr">
        <is>
          <t>A 18956-2025</t>
        </is>
      </c>
      <c r="B269" s="1" t="n">
        <v>45764.51827546296</v>
      </c>
      <c r="C269" s="1" t="n">
        <v>46166</v>
      </c>
      <c r="D269" t="inlineStr">
        <is>
          <t>DALARNAS LÄN</t>
        </is>
      </c>
      <c r="E269" t="inlineStr">
        <is>
          <t>GAGNEF</t>
        </is>
      </c>
      <c r="G269" t="n">
        <v>1.4</v>
      </c>
      <c r="H269" t="n">
        <v>0</v>
      </c>
      <c r="I269" t="n">
        <v>0</v>
      </c>
      <c r="J269" t="n">
        <v>0</v>
      </c>
      <c r="K269" t="n">
        <v>0</v>
      </c>
      <c r="L269" t="n">
        <v>0</v>
      </c>
      <c r="M269" t="n">
        <v>0</v>
      </c>
      <c r="N269" t="n">
        <v>0</v>
      </c>
      <c r="O269" t="n">
        <v>0</v>
      </c>
      <c r="P269" t="n">
        <v>0</v>
      </c>
      <c r="Q269" t="n">
        <v>0</v>
      </c>
      <c r="R269" s="2" t="inlineStr"/>
    </row>
    <row r="270" ht="15" customHeight="1">
      <c r="A270" t="inlineStr">
        <is>
          <t>A 16066-2025</t>
        </is>
      </c>
      <c r="B270" s="1" t="n">
        <v>45749.66427083333</v>
      </c>
      <c r="C270" s="1" t="n">
        <v>46166</v>
      </c>
      <c r="D270" t="inlineStr">
        <is>
          <t>DALARNAS LÄN</t>
        </is>
      </c>
      <c r="E270" t="inlineStr">
        <is>
          <t>GAGNEF</t>
        </is>
      </c>
      <c r="G270" t="n">
        <v>6.7</v>
      </c>
      <c r="H270" t="n">
        <v>0</v>
      </c>
      <c r="I270" t="n">
        <v>0</v>
      </c>
      <c r="J270" t="n">
        <v>0</v>
      </c>
      <c r="K270" t="n">
        <v>0</v>
      </c>
      <c r="L270" t="n">
        <v>0</v>
      </c>
      <c r="M270" t="n">
        <v>0</v>
      </c>
      <c r="N270" t="n">
        <v>0</v>
      </c>
      <c r="O270" t="n">
        <v>0</v>
      </c>
      <c r="P270" t="n">
        <v>0</v>
      </c>
      <c r="Q270" t="n">
        <v>0</v>
      </c>
      <c r="R270" s="2" t="inlineStr"/>
    </row>
    <row r="271" ht="15" customHeight="1">
      <c r="A271" t="inlineStr">
        <is>
          <t>A 3599-2026</t>
        </is>
      </c>
      <c r="B271" s="1" t="n">
        <v>46042</v>
      </c>
      <c r="C271" s="1" t="n">
        <v>46166</v>
      </c>
      <c r="D271" t="inlineStr">
        <is>
          <t>DALARNAS LÄN</t>
        </is>
      </c>
      <c r="E271" t="inlineStr">
        <is>
          <t>GAGNEF</t>
        </is>
      </c>
      <c r="G271" t="n">
        <v>2</v>
      </c>
      <c r="H271" t="n">
        <v>0</v>
      </c>
      <c r="I271" t="n">
        <v>0</v>
      </c>
      <c r="J271" t="n">
        <v>0</v>
      </c>
      <c r="K271" t="n">
        <v>0</v>
      </c>
      <c r="L271" t="n">
        <v>0</v>
      </c>
      <c r="M271" t="n">
        <v>0</v>
      </c>
      <c r="N271" t="n">
        <v>0</v>
      </c>
      <c r="O271" t="n">
        <v>0</v>
      </c>
      <c r="P271" t="n">
        <v>0</v>
      </c>
      <c r="Q271" t="n">
        <v>0</v>
      </c>
      <c r="R271" s="2" t="inlineStr"/>
    </row>
    <row r="272" ht="15" customHeight="1">
      <c r="A272" t="inlineStr">
        <is>
          <t>A 3389-2026</t>
        </is>
      </c>
      <c r="B272" s="1" t="n">
        <v>46042.36956018519</v>
      </c>
      <c r="C272" s="1" t="n">
        <v>46166</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56842-2024</t>
        </is>
      </c>
      <c r="B273" s="1" t="n">
        <v>45628.52410879629</v>
      </c>
      <c r="C273" s="1" t="n">
        <v>46166</v>
      </c>
      <c r="D273" t="inlineStr">
        <is>
          <t>DALARNAS LÄN</t>
        </is>
      </c>
      <c r="E273" t="inlineStr">
        <is>
          <t>GAGNEF</t>
        </is>
      </c>
      <c r="G273" t="n">
        <v>9.6</v>
      </c>
      <c r="H273" t="n">
        <v>0</v>
      </c>
      <c r="I273" t="n">
        <v>0</v>
      </c>
      <c r="J273" t="n">
        <v>0</v>
      </c>
      <c r="K273" t="n">
        <v>0</v>
      </c>
      <c r="L273" t="n">
        <v>0</v>
      </c>
      <c r="M273" t="n">
        <v>0</v>
      </c>
      <c r="N273" t="n">
        <v>0</v>
      </c>
      <c r="O273" t="n">
        <v>0</v>
      </c>
      <c r="P273" t="n">
        <v>0</v>
      </c>
      <c r="Q273" t="n">
        <v>0</v>
      </c>
      <c r="R273" s="2" t="inlineStr"/>
    </row>
    <row r="274" ht="15" customHeight="1">
      <c r="A274" t="inlineStr">
        <is>
          <t>A 4397-2026</t>
        </is>
      </c>
      <c r="B274" s="1" t="n">
        <v>46045.58430555555</v>
      </c>
      <c r="C274" s="1" t="n">
        <v>46166</v>
      </c>
      <c r="D274" t="inlineStr">
        <is>
          <t>DALARNAS LÄN</t>
        </is>
      </c>
      <c r="E274" t="inlineStr">
        <is>
          <t>GAGNEF</t>
        </is>
      </c>
      <c r="G274" t="n">
        <v>7.2</v>
      </c>
      <c r="H274" t="n">
        <v>0</v>
      </c>
      <c r="I274" t="n">
        <v>0</v>
      </c>
      <c r="J274" t="n">
        <v>0</v>
      </c>
      <c r="K274" t="n">
        <v>0</v>
      </c>
      <c r="L274" t="n">
        <v>0</v>
      </c>
      <c r="M274" t="n">
        <v>0</v>
      </c>
      <c r="N274" t="n">
        <v>0</v>
      </c>
      <c r="O274" t="n">
        <v>0</v>
      </c>
      <c r="P274" t="n">
        <v>0</v>
      </c>
      <c r="Q274" t="n">
        <v>0</v>
      </c>
      <c r="R274" s="2" t="inlineStr"/>
    </row>
    <row r="275" ht="15" customHeight="1">
      <c r="A275" t="inlineStr">
        <is>
          <t>A 4416-2026</t>
        </is>
      </c>
      <c r="B275" s="1" t="n">
        <v>46045.60434027778</v>
      </c>
      <c r="C275" s="1" t="n">
        <v>46166</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4105-2026</t>
        </is>
      </c>
      <c r="B276" s="1" t="n">
        <v>46044</v>
      </c>
      <c r="C276" s="1" t="n">
        <v>46166</v>
      </c>
      <c r="D276" t="inlineStr">
        <is>
          <t>DALARNAS LÄN</t>
        </is>
      </c>
      <c r="E276" t="inlineStr">
        <is>
          <t>GAGNEF</t>
        </is>
      </c>
      <c r="F276" t="inlineStr">
        <is>
          <t>Bergvik skog väst AB</t>
        </is>
      </c>
      <c r="G276" t="n">
        <v>5.5</v>
      </c>
      <c r="H276" t="n">
        <v>0</v>
      </c>
      <c r="I276" t="n">
        <v>0</v>
      </c>
      <c r="J276" t="n">
        <v>0</v>
      </c>
      <c r="K276" t="n">
        <v>0</v>
      </c>
      <c r="L276" t="n">
        <v>0</v>
      </c>
      <c r="M276" t="n">
        <v>0</v>
      </c>
      <c r="N276" t="n">
        <v>0</v>
      </c>
      <c r="O276" t="n">
        <v>0</v>
      </c>
      <c r="P276" t="n">
        <v>0</v>
      </c>
      <c r="Q276" t="n">
        <v>0</v>
      </c>
      <c r="R276" s="2" t="inlineStr"/>
    </row>
    <row r="277" ht="15" customHeight="1">
      <c r="A277" t="inlineStr">
        <is>
          <t>A 4682-2026</t>
        </is>
      </c>
      <c r="B277" s="1" t="n">
        <v>46048.43288194444</v>
      </c>
      <c r="C277" s="1" t="n">
        <v>46166</v>
      </c>
      <c r="D277" t="inlineStr">
        <is>
          <t>DALARNAS LÄN</t>
        </is>
      </c>
      <c r="E277" t="inlineStr">
        <is>
          <t>GAGNEF</t>
        </is>
      </c>
      <c r="G277" t="n">
        <v>3.8</v>
      </c>
      <c r="H277" t="n">
        <v>0</v>
      </c>
      <c r="I277" t="n">
        <v>0</v>
      </c>
      <c r="J277" t="n">
        <v>0</v>
      </c>
      <c r="K277" t="n">
        <v>0</v>
      </c>
      <c r="L277" t="n">
        <v>0</v>
      </c>
      <c r="M277" t="n">
        <v>0</v>
      </c>
      <c r="N277" t="n">
        <v>0</v>
      </c>
      <c r="O277" t="n">
        <v>0</v>
      </c>
      <c r="P277" t="n">
        <v>0</v>
      </c>
      <c r="Q277" t="n">
        <v>0</v>
      </c>
      <c r="R277" s="2" t="inlineStr"/>
    </row>
    <row r="278" ht="15" customHeight="1">
      <c r="A278" t="inlineStr">
        <is>
          <t>A 4718-2026</t>
        </is>
      </c>
      <c r="B278" s="1" t="n">
        <v>46048.46645833334</v>
      </c>
      <c r="C278" s="1" t="n">
        <v>46166</v>
      </c>
      <c r="D278" t="inlineStr">
        <is>
          <t>DALARNAS LÄN</t>
        </is>
      </c>
      <c r="E278" t="inlineStr">
        <is>
          <t>GAGNEF</t>
        </is>
      </c>
      <c r="G278" t="n">
        <v>5.3</v>
      </c>
      <c r="H278" t="n">
        <v>0</v>
      </c>
      <c r="I278" t="n">
        <v>0</v>
      </c>
      <c r="J278" t="n">
        <v>0</v>
      </c>
      <c r="K278" t="n">
        <v>0</v>
      </c>
      <c r="L278" t="n">
        <v>0</v>
      </c>
      <c r="M278" t="n">
        <v>0</v>
      </c>
      <c r="N278" t="n">
        <v>0</v>
      </c>
      <c r="O278" t="n">
        <v>0</v>
      </c>
      <c r="P278" t="n">
        <v>0</v>
      </c>
      <c r="Q278" t="n">
        <v>0</v>
      </c>
      <c r="R278" s="2" t="inlineStr"/>
    </row>
    <row r="279" ht="15" customHeight="1">
      <c r="A279" t="inlineStr">
        <is>
          <t>A 4826-2026</t>
        </is>
      </c>
      <c r="B279" s="1" t="n">
        <v>46048.59686342593</v>
      </c>
      <c r="C279" s="1" t="n">
        <v>46166</v>
      </c>
      <c r="D279" t="inlineStr">
        <is>
          <t>DALARNAS LÄN</t>
        </is>
      </c>
      <c r="E279" t="inlineStr">
        <is>
          <t>GAGNEF</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36891-2024</t>
        </is>
      </c>
      <c r="B280" s="1" t="n">
        <v>45538.61</v>
      </c>
      <c r="C280" s="1" t="n">
        <v>46166</v>
      </c>
      <c r="D280" t="inlineStr">
        <is>
          <t>DALARNAS LÄN</t>
        </is>
      </c>
      <c r="E280" t="inlineStr">
        <is>
          <t>GAGNEF</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4615-2026</t>
        </is>
      </c>
      <c r="B281" s="1" t="n">
        <v>46048.37015046296</v>
      </c>
      <c r="C281" s="1" t="n">
        <v>46166</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4871-2026</t>
        </is>
      </c>
      <c r="B282" s="1" t="n">
        <v>46048.64840277778</v>
      </c>
      <c r="C282" s="1" t="n">
        <v>46166</v>
      </c>
      <c r="D282" t="inlineStr">
        <is>
          <t>DALARNAS LÄN</t>
        </is>
      </c>
      <c r="E282" t="inlineStr">
        <is>
          <t>GAGNEF</t>
        </is>
      </c>
      <c r="G282" t="n">
        <v>2.8</v>
      </c>
      <c r="H282" t="n">
        <v>0</v>
      </c>
      <c r="I282" t="n">
        <v>0</v>
      </c>
      <c r="J282" t="n">
        <v>0</v>
      </c>
      <c r="K282" t="n">
        <v>0</v>
      </c>
      <c r="L282" t="n">
        <v>0</v>
      </c>
      <c r="M282" t="n">
        <v>0</v>
      </c>
      <c r="N282" t="n">
        <v>0</v>
      </c>
      <c r="O282" t="n">
        <v>0</v>
      </c>
      <c r="P282" t="n">
        <v>0</v>
      </c>
      <c r="Q282" t="n">
        <v>0</v>
      </c>
      <c r="R282" s="2" t="inlineStr"/>
    </row>
    <row r="283" ht="15" customHeight="1">
      <c r="A283" t="inlineStr">
        <is>
          <t>A 4686-2026</t>
        </is>
      </c>
      <c r="B283" s="1" t="n">
        <v>46048.43784722222</v>
      </c>
      <c r="C283" s="1" t="n">
        <v>46166</v>
      </c>
      <c r="D283" t="inlineStr">
        <is>
          <t>DALARNAS LÄN</t>
        </is>
      </c>
      <c r="E283" t="inlineStr">
        <is>
          <t>GAGNEF</t>
        </is>
      </c>
      <c r="G283" t="n">
        <v>4</v>
      </c>
      <c r="H283" t="n">
        <v>0</v>
      </c>
      <c r="I283" t="n">
        <v>0</v>
      </c>
      <c r="J283" t="n">
        <v>0</v>
      </c>
      <c r="K283" t="n">
        <v>0</v>
      </c>
      <c r="L283" t="n">
        <v>0</v>
      </c>
      <c r="M283" t="n">
        <v>0</v>
      </c>
      <c r="N283" t="n">
        <v>0</v>
      </c>
      <c r="O283" t="n">
        <v>0</v>
      </c>
      <c r="P283" t="n">
        <v>0</v>
      </c>
      <c r="Q283" t="n">
        <v>0</v>
      </c>
      <c r="R283" s="2" t="inlineStr"/>
    </row>
    <row r="284" ht="15" customHeight="1">
      <c r="A284" t="inlineStr">
        <is>
          <t>A 5686-2026</t>
        </is>
      </c>
      <c r="B284" s="1" t="n">
        <v>46051.48701388889</v>
      </c>
      <c r="C284" s="1" t="n">
        <v>46166</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326-2024</t>
        </is>
      </c>
      <c r="B285" s="1" t="n">
        <v>45295</v>
      </c>
      <c r="C285" s="1" t="n">
        <v>46166</v>
      </c>
      <c r="D285" t="inlineStr">
        <is>
          <t>DALARNAS LÄN</t>
        </is>
      </c>
      <c r="E285" t="inlineStr">
        <is>
          <t>GAGNEF</t>
        </is>
      </c>
      <c r="G285" t="n">
        <v>9.4</v>
      </c>
      <c r="H285" t="n">
        <v>0</v>
      </c>
      <c r="I285" t="n">
        <v>0</v>
      </c>
      <c r="J285" t="n">
        <v>0</v>
      </c>
      <c r="K285" t="n">
        <v>0</v>
      </c>
      <c r="L285" t="n">
        <v>0</v>
      </c>
      <c r="M285" t="n">
        <v>0</v>
      </c>
      <c r="N285" t="n">
        <v>0</v>
      </c>
      <c r="O285" t="n">
        <v>0</v>
      </c>
      <c r="P285" t="n">
        <v>0</v>
      </c>
      <c r="Q285" t="n">
        <v>0</v>
      </c>
      <c r="R285" s="2" t="inlineStr"/>
    </row>
    <row r="286" ht="15" customHeight="1">
      <c r="A286" t="inlineStr">
        <is>
          <t>A 5548-2026</t>
        </is>
      </c>
      <c r="B286" s="1" t="n">
        <v>46050.71394675926</v>
      </c>
      <c r="C286" s="1" t="n">
        <v>46166</v>
      </c>
      <c r="D286" t="inlineStr">
        <is>
          <t>DALARNAS LÄN</t>
        </is>
      </c>
      <c r="E286" t="inlineStr">
        <is>
          <t>GAGNEF</t>
        </is>
      </c>
      <c r="G286" t="n">
        <v>3</v>
      </c>
      <c r="H286" t="n">
        <v>0</v>
      </c>
      <c r="I286" t="n">
        <v>0</v>
      </c>
      <c r="J286" t="n">
        <v>0</v>
      </c>
      <c r="K286" t="n">
        <v>0</v>
      </c>
      <c r="L286" t="n">
        <v>0</v>
      </c>
      <c r="M286" t="n">
        <v>0</v>
      </c>
      <c r="N286" t="n">
        <v>0</v>
      </c>
      <c r="O286" t="n">
        <v>0</v>
      </c>
      <c r="P286" t="n">
        <v>0</v>
      </c>
      <c r="Q286" t="n">
        <v>0</v>
      </c>
      <c r="R286" s="2" t="inlineStr"/>
    </row>
    <row r="287" ht="15" customHeight="1">
      <c r="A287" t="inlineStr">
        <is>
          <t>A 57134-2022</t>
        </is>
      </c>
      <c r="B287" s="1" t="n">
        <v>44895</v>
      </c>
      <c r="C287" s="1" t="n">
        <v>46166</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5256-2026</t>
        </is>
      </c>
      <c r="B288" s="1" t="n">
        <v>46050</v>
      </c>
      <c r="C288" s="1" t="n">
        <v>46166</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46166</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16174-2023</t>
        </is>
      </c>
      <c r="B290" s="1" t="n">
        <v>45027</v>
      </c>
      <c r="C290" s="1" t="n">
        <v>46166</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6303-2026</t>
        </is>
      </c>
      <c r="B291" s="1" t="n">
        <v>46055.56982638889</v>
      </c>
      <c r="C291" s="1" t="n">
        <v>46166</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52426-2024</t>
        </is>
      </c>
      <c r="B292" s="1" t="n">
        <v>45608</v>
      </c>
      <c r="C292" s="1" t="n">
        <v>46166</v>
      </c>
      <c r="D292" t="inlineStr">
        <is>
          <t>DALARNAS LÄN</t>
        </is>
      </c>
      <c r="E292" t="inlineStr">
        <is>
          <t>GAGNEF</t>
        </is>
      </c>
      <c r="G292" t="n">
        <v>2</v>
      </c>
      <c r="H292" t="n">
        <v>0</v>
      </c>
      <c r="I292" t="n">
        <v>0</v>
      </c>
      <c r="J292" t="n">
        <v>0</v>
      </c>
      <c r="K292" t="n">
        <v>0</v>
      </c>
      <c r="L292" t="n">
        <v>0</v>
      </c>
      <c r="M292" t="n">
        <v>0</v>
      </c>
      <c r="N292" t="n">
        <v>0</v>
      </c>
      <c r="O292" t="n">
        <v>0</v>
      </c>
      <c r="P292" t="n">
        <v>0</v>
      </c>
      <c r="Q292" t="n">
        <v>0</v>
      </c>
      <c r="R292" s="2" t="inlineStr"/>
    </row>
    <row r="293" ht="15" customHeight="1">
      <c r="A293" t="inlineStr">
        <is>
          <t>A 19046-2025</t>
        </is>
      </c>
      <c r="B293" s="1" t="n">
        <v>45764.76855324074</v>
      </c>
      <c r="C293" s="1" t="n">
        <v>46166</v>
      </c>
      <c r="D293" t="inlineStr">
        <is>
          <t>DALARNAS LÄN</t>
        </is>
      </c>
      <c r="E293" t="inlineStr">
        <is>
          <t>GAGNEF</t>
        </is>
      </c>
      <c r="G293" t="n">
        <v>20.4</v>
      </c>
      <c r="H293" t="n">
        <v>0</v>
      </c>
      <c r="I293" t="n">
        <v>0</v>
      </c>
      <c r="J293" t="n">
        <v>0</v>
      </c>
      <c r="K293" t="n">
        <v>0</v>
      </c>
      <c r="L293" t="n">
        <v>0</v>
      </c>
      <c r="M293" t="n">
        <v>0</v>
      </c>
      <c r="N293" t="n">
        <v>0</v>
      </c>
      <c r="O293" t="n">
        <v>0</v>
      </c>
      <c r="P293" t="n">
        <v>0</v>
      </c>
      <c r="Q293" t="n">
        <v>0</v>
      </c>
      <c r="R293" s="2" t="inlineStr"/>
    </row>
    <row r="294" ht="15" customHeight="1">
      <c r="A294" t="inlineStr">
        <is>
          <t>A 23489-2024</t>
        </is>
      </c>
      <c r="B294" s="1" t="n">
        <v>45453.68108796296</v>
      </c>
      <c r="C294" s="1" t="n">
        <v>46166</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2505-2024</t>
        </is>
      </c>
      <c r="B295" s="1" t="n">
        <v>45313</v>
      </c>
      <c r="C295" s="1" t="n">
        <v>46166</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44040-2024</t>
        </is>
      </c>
      <c r="B296" s="1" t="n">
        <v>45572.58497685185</v>
      </c>
      <c r="C296" s="1" t="n">
        <v>46166</v>
      </c>
      <c r="D296" t="inlineStr">
        <is>
          <t>DALARNAS LÄN</t>
        </is>
      </c>
      <c r="E296" t="inlineStr">
        <is>
          <t>GAGNEF</t>
        </is>
      </c>
      <c r="G296" t="n">
        <v>5.1</v>
      </c>
      <c r="H296" t="n">
        <v>0</v>
      </c>
      <c r="I296" t="n">
        <v>0</v>
      </c>
      <c r="J296" t="n">
        <v>0</v>
      </c>
      <c r="K296" t="n">
        <v>0</v>
      </c>
      <c r="L296" t="n">
        <v>0</v>
      </c>
      <c r="M296" t="n">
        <v>0</v>
      </c>
      <c r="N296" t="n">
        <v>0</v>
      </c>
      <c r="O296" t="n">
        <v>0</v>
      </c>
      <c r="P296" t="n">
        <v>0</v>
      </c>
      <c r="Q296" t="n">
        <v>0</v>
      </c>
      <c r="R296" s="2" t="inlineStr"/>
    </row>
    <row r="297" ht="15" customHeight="1">
      <c r="A297" t="inlineStr">
        <is>
          <t>A 2943-2026</t>
        </is>
      </c>
      <c r="B297" s="1" t="n">
        <v>46038.59100694444</v>
      </c>
      <c r="C297" s="1" t="n">
        <v>46166</v>
      </c>
      <c r="D297" t="inlineStr">
        <is>
          <t>DALARNAS LÄN</t>
        </is>
      </c>
      <c r="E297" t="inlineStr">
        <is>
          <t>GAGNEF</t>
        </is>
      </c>
      <c r="G297" t="n">
        <v>7.2</v>
      </c>
      <c r="H297" t="n">
        <v>0</v>
      </c>
      <c r="I297" t="n">
        <v>0</v>
      </c>
      <c r="J297" t="n">
        <v>0</v>
      </c>
      <c r="K297" t="n">
        <v>0</v>
      </c>
      <c r="L297" t="n">
        <v>0</v>
      </c>
      <c r="M297" t="n">
        <v>0</v>
      </c>
      <c r="N297" t="n">
        <v>0</v>
      </c>
      <c r="O297" t="n">
        <v>0</v>
      </c>
      <c r="P297" t="n">
        <v>0</v>
      </c>
      <c r="Q297" t="n">
        <v>0</v>
      </c>
      <c r="R297" s="2" t="inlineStr"/>
    </row>
    <row r="298" ht="15" customHeight="1">
      <c r="A298" t="inlineStr">
        <is>
          <t>A 45521-2024</t>
        </is>
      </c>
      <c r="B298" s="1" t="n">
        <v>45578.71738425926</v>
      </c>
      <c r="C298" s="1" t="n">
        <v>46166</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4238-2026</t>
        </is>
      </c>
      <c r="B299" s="1" t="n">
        <v>46044</v>
      </c>
      <c r="C299" s="1" t="n">
        <v>46166</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41365-2023</t>
        </is>
      </c>
      <c r="B300" s="1" t="n">
        <v>45174.84201388889</v>
      </c>
      <c r="C300" s="1" t="n">
        <v>46166</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63325-2025</t>
        </is>
      </c>
      <c r="B301" s="1" t="n">
        <v>46010.63777777777</v>
      </c>
      <c r="C301" s="1" t="n">
        <v>46166</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15965-2023</t>
        </is>
      </c>
      <c r="B302" s="1" t="n">
        <v>45022.65944444444</v>
      </c>
      <c r="C302" s="1" t="n">
        <v>46166</v>
      </c>
      <c r="D302" t="inlineStr">
        <is>
          <t>DALARNAS LÄN</t>
        </is>
      </c>
      <c r="E302" t="inlineStr">
        <is>
          <t>GAGNEF</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36127-2024</t>
        </is>
      </c>
      <c r="B303" s="1" t="n">
        <v>45534.3334375</v>
      </c>
      <c r="C303" s="1" t="n">
        <v>46166</v>
      </c>
      <c r="D303" t="inlineStr">
        <is>
          <t>DALARNAS LÄN</t>
        </is>
      </c>
      <c r="E303" t="inlineStr">
        <is>
          <t>GAGNEF</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36132-2024</t>
        </is>
      </c>
      <c r="B304" s="1" t="n">
        <v>45534.34255787037</v>
      </c>
      <c r="C304" s="1" t="n">
        <v>46166</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1918-2025</t>
        </is>
      </c>
      <c r="B305" s="1" t="n">
        <v>45671.66840277778</v>
      </c>
      <c r="C305" s="1" t="n">
        <v>46166</v>
      </c>
      <c r="D305" t="inlineStr">
        <is>
          <t>DALARNAS LÄN</t>
        </is>
      </c>
      <c r="E305" t="inlineStr">
        <is>
          <t>GAGNEF</t>
        </is>
      </c>
      <c r="G305" t="n">
        <v>6.8</v>
      </c>
      <c r="H305" t="n">
        <v>0</v>
      </c>
      <c r="I305" t="n">
        <v>0</v>
      </c>
      <c r="J305" t="n">
        <v>0</v>
      </c>
      <c r="K305" t="n">
        <v>0</v>
      </c>
      <c r="L305" t="n">
        <v>0</v>
      </c>
      <c r="M305" t="n">
        <v>0</v>
      </c>
      <c r="N305" t="n">
        <v>0</v>
      </c>
      <c r="O305" t="n">
        <v>0</v>
      </c>
      <c r="P305" t="n">
        <v>0</v>
      </c>
      <c r="Q305" t="n">
        <v>0</v>
      </c>
      <c r="R305" s="2" t="inlineStr"/>
    </row>
    <row r="306" ht="15" customHeight="1">
      <c r="A306" t="inlineStr">
        <is>
          <t>A 491-2025</t>
        </is>
      </c>
      <c r="B306" s="1" t="n">
        <v>45664.46144675926</v>
      </c>
      <c r="C306" s="1" t="n">
        <v>46166</v>
      </c>
      <c r="D306" t="inlineStr">
        <is>
          <t>DALARNAS LÄN</t>
        </is>
      </c>
      <c r="E306" t="inlineStr">
        <is>
          <t>GAGNEF</t>
        </is>
      </c>
      <c r="F306" t="inlineStr">
        <is>
          <t>Övriga statliga verk och myndigheter</t>
        </is>
      </c>
      <c r="G306" t="n">
        <v>1.7</v>
      </c>
      <c r="H306" t="n">
        <v>0</v>
      </c>
      <c r="I306" t="n">
        <v>0</v>
      </c>
      <c r="J306" t="n">
        <v>0</v>
      </c>
      <c r="K306" t="n">
        <v>0</v>
      </c>
      <c r="L306" t="n">
        <v>0</v>
      </c>
      <c r="M306" t="n">
        <v>0</v>
      </c>
      <c r="N306" t="n">
        <v>0</v>
      </c>
      <c r="O306" t="n">
        <v>0</v>
      </c>
      <c r="P306" t="n">
        <v>0</v>
      </c>
      <c r="Q306" t="n">
        <v>0</v>
      </c>
      <c r="R306" s="2" t="inlineStr"/>
    </row>
    <row r="307" ht="15" customHeight="1">
      <c r="A307" t="inlineStr">
        <is>
          <t>A 708-2026</t>
        </is>
      </c>
      <c r="B307" s="1" t="n">
        <v>46029.6206712963</v>
      </c>
      <c r="C307" s="1" t="n">
        <v>46166</v>
      </c>
      <c r="D307" t="inlineStr">
        <is>
          <t>DALARNAS LÄN</t>
        </is>
      </c>
      <c r="E307" t="inlineStr">
        <is>
          <t>GAGNEF</t>
        </is>
      </c>
      <c r="G307" t="n">
        <v>1.8</v>
      </c>
      <c r="H307" t="n">
        <v>0</v>
      </c>
      <c r="I307" t="n">
        <v>0</v>
      </c>
      <c r="J307" t="n">
        <v>0</v>
      </c>
      <c r="K307" t="n">
        <v>0</v>
      </c>
      <c r="L307" t="n">
        <v>0</v>
      </c>
      <c r="M307" t="n">
        <v>0</v>
      </c>
      <c r="N307" t="n">
        <v>0</v>
      </c>
      <c r="O307" t="n">
        <v>0</v>
      </c>
      <c r="P307" t="n">
        <v>0</v>
      </c>
      <c r="Q307" t="n">
        <v>0</v>
      </c>
      <c r="R307" s="2" t="inlineStr"/>
    </row>
    <row r="308" ht="15" customHeight="1">
      <c r="A308" t="inlineStr">
        <is>
          <t>A 2924-2026</t>
        </is>
      </c>
      <c r="B308" s="1" t="n">
        <v>46038.58</v>
      </c>
      <c r="C308" s="1" t="n">
        <v>46166</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63084-2025</t>
        </is>
      </c>
      <c r="B309" s="1" t="n">
        <v>46009.6719212963</v>
      </c>
      <c r="C309" s="1" t="n">
        <v>46166</v>
      </c>
      <c r="D309" t="inlineStr">
        <is>
          <t>DALARNAS LÄN</t>
        </is>
      </c>
      <c r="E309" t="inlineStr">
        <is>
          <t>GAGNEF</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38426-2024</t>
        </is>
      </c>
      <c r="B310" s="1" t="n">
        <v>45546.3780787037</v>
      </c>
      <c r="C310" s="1" t="n">
        <v>46166</v>
      </c>
      <c r="D310" t="inlineStr">
        <is>
          <t>DALARNAS LÄN</t>
        </is>
      </c>
      <c r="E310" t="inlineStr">
        <is>
          <t>GAGNEF</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54018-2025</t>
        </is>
      </c>
      <c r="B311" s="1" t="n">
        <v>45961</v>
      </c>
      <c r="C311" s="1" t="n">
        <v>46166</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2916-2026</t>
        </is>
      </c>
      <c r="B312" s="1" t="n">
        <v>46038.56959490741</v>
      </c>
      <c r="C312" s="1" t="n">
        <v>46166</v>
      </c>
      <c r="D312" t="inlineStr">
        <is>
          <t>DALARNAS LÄN</t>
        </is>
      </c>
      <c r="E312" t="inlineStr">
        <is>
          <t>GAGNEF</t>
        </is>
      </c>
      <c r="G312" t="n">
        <v>1.4</v>
      </c>
      <c r="H312" t="n">
        <v>0</v>
      </c>
      <c r="I312" t="n">
        <v>0</v>
      </c>
      <c r="J312" t="n">
        <v>0</v>
      </c>
      <c r="K312" t="n">
        <v>0</v>
      </c>
      <c r="L312" t="n">
        <v>0</v>
      </c>
      <c r="M312" t="n">
        <v>0</v>
      </c>
      <c r="N312" t="n">
        <v>0</v>
      </c>
      <c r="O312" t="n">
        <v>0</v>
      </c>
      <c r="P312" t="n">
        <v>0</v>
      </c>
      <c r="Q312" t="n">
        <v>0</v>
      </c>
      <c r="R312" s="2" t="inlineStr"/>
    </row>
    <row r="313" ht="15" customHeight="1">
      <c r="A313" t="inlineStr">
        <is>
          <t>A 3316-2022</t>
        </is>
      </c>
      <c r="B313" s="1" t="n">
        <v>44585</v>
      </c>
      <c r="C313" s="1" t="n">
        <v>46166</v>
      </c>
      <c r="D313" t="inlineStr">
        <is>
          <t>DALARNAS LÄN</t>
        </is>
      </c>
      <c r="E313" t="inlineStr">
        <is>
          <t>GAGNEF</t>
        </is>
      </c>
      <c r="G313" t="n">
        <v>2.1</v>
      </c>
      <c r="H313" t="n">
        <v>0</v>
      </c>
      <c r="I313" t="n">
        <v>0</v>
      </c>
      <c r="J313" t="n">
        <v>0</v>
      </c>
      <c r="K313" t="n">
        <v>0</v>
      </c>
      <c r="L313" t="n">
        <v>0</v>
      </c>
      <c r="M313" t="n">
        <v>0</v>
      </c>
      <c r="N313" t="n">
        <v>0</v>
      </c>
      <c r="O313" t="n">
        <v>0</v>
      </c>
      <c r="P313" t="n">
        <v>0</v>
      </c>
      <c r="Q313" t="n">
        <v>0</v>
      </c>
      <c r="R313" s="2" t="inlineStr"/>
    </row>
    <row r="314" ht="15" customHeight="1">
      <c r="A314" t="inlineStr">
        <is>
          <t>A 66613-2021</t>
        </is>
      </c>
      <c r="B314" s="1" t="n">
        <v>44519</v>
      </c>
      <c r="C314" s="1" t="n">
        <v>46166</v>
      </c>
      <c r="D314" t="inlineStr">
        <is>
          <t>DALARNAS LÄN</t>
        </is>
      </c>
      <c r="E314" t="inlineStr">
        <is>
          <t>GAGNEF</t>
        </is>
      </c>
      <c r="G314" t="n">
        <v>0.2</v>
      </c>
      <c r="H314" t="n">
        <v>0</v>
      </c>
      <c r="I314" t="n">
        <v>0</v>
      </c>
      <c r="J314" t="n">
        <v>0</v>
      </c>
      <c r="K314" t="n">
        <v>0</v>
      </c>
      <c r="L314" t="n">
        <v>0</v>
      </c>
      <c r="M314" t="n">
        <v>0</v>
      </c>
      <c r="N314" t="n">
        <v>0</v>
      </c>
      <c r="O314" t="n">
        <v>0</v>
      </c>
      <c r="P314" t="n">
        <v>0</v>
      </c>
      <c r="Q314" t="n">
        <v>0</v>
      </c>
      <c r="R314" s="2" t="inlineStr"/>
    </row>
    <row r="315" ht="15" customHeight="1">
      <c r="A315" t="inlineStr">
        <is>
          <t>A 9203-2026</t>
        </is>
      </c>
      <c r="B315" s="1" t="n">
        <v>46070.4134837963</v>
      </c>
      <c r="C315" s="1" t="n">
        <v>46166</v>
      </c>
      <c r="D315" t="inlineStr">
        <is>
          <t>DALARNAS LÄN</t>
        </is>
      </c>
      <c r="E315" t="inlineStr">
        <is>
          <t>GAGNEF</t>
        </is>
      </c>
      <c r="G315" t="n">
        <v>3.5</v>
      </c>
      <c r="H315" t="n">
        <v>0</v>
      </c>
      <c r="I315" t="n">
        <v>0</v>
      </c>
      <c r="J315" t="n">
        <v>0</v>
      </c>
      <c r="K315" t="n">
        <v>0</v>
      </c>
      <c r="L315" t="n">
        <v>0</v>
      </c>
      <c r="M315" t="n">
        <v>0</v>
      </c>
      <c r="N315" t="n">
        <v>0</v>
      </c>
      <c r="O315" t="n">
        <v>0</v>
      </c>
      <c r="P315" t="n">
        <v>0</v>
      </c>
      <c r="Q315" t="n">
        <v>0</v>
      </c>
      <c r="R315" s="2" t="inlineStr"/>
    </row>
    <row r="316" ht="15" customHeight="1">
      <c r="A316" t="inlineStr">
        <is>
          <t>A 6072-2026</t>
        </is>
      </c>
      <c r="B316" s="1" t="n">
        <v>46052</v>
      </c>
      <c r="C316" s="1" t="n">
        <v>46166</v>
      </c>
      <c r="D316" t="inlineStr">
        <is>
          <t>DALARNAS LÄN</t>
        </is>
      </c>
      <c r="E316" t="inlineStr">
        <is>
          <t>GAGNEF</t>
        </is>
      </c>
      <c r="G316" t="n">
        <v>7.4</v>
      </c>
      <c r="H316" t="n">
        <v>0</v>
      </c>
      <c r="I316" t="n">
        <v>0</v>
      </c>
      <c r="J316" t="n">
        <v>0</v>
      </c>
      <c r="K316" t="n">
        <v>0</v>
      </c>
      <c r="L316" t="n">
        <v>0</v>
      </c>
      <c r="M316" t="n">
        <v>0</v>
      </c>
      <c r="N316" t="n">
        <v>0</v>
      </c>
      <c r="O316" t="n">
        <v>0</v>
      </c>
      <c r="P316" t="n">
        <v>0</v>
      </c>
      <c r="Q316" t="n">
        <v>0</v>
      </c>
      <c r="R316" s="2" t="inlineStr"/>
    </row>
    <row r="317" ht="15" customHeight="1">
      <c r="A317" t="inlineStr">
        <is>
          <t>A 9956-2026</t>
        </is>
      </c>
      <c r="B317" s="1" t="n">
        <v>46073</v>
      </c>
      <c r="C317" s="1" t="n">
        <v>46166</v>
      </c>
      <c r="D317" t="inlineStr">
        <is>
          <t>DALARNAS LÄN</t>
        </is>
      </c>
      <c r="E317" t="inlineStr">
        <is>
          <t>GAGNEF</t>
        </is>
      </c>
      <c r="G317" t="n">
        <v>4.6</v>
      </c>
      <c r="H317" t="n">
        <v>0</v>
      </c>
      <c r="I317" t="n">
        <v>0</v>
      </c>
      <c r="J317" t="n">
        <v>0</v>
      </c>
      <c r="K317" t="n">
        <v>0</v>
      </c>
      <c r="L317" t="n">
        <v>0</v>
      </c>
      <c r="M317" t="n">
        <v>0</v>
      </c>
      <c r="N317" t="n">
        <v>0</v>
      </c>
      <c r="O317" t="n">
        <v>0</v>
      </c>
      <c r="P317" t="n">
        <v>0</v>
      </c>
      <c r="Q317" t="n">
        <v>0</v>
      </c>
      <c r="R317" s="2" t="inlineStr"/>
    </row>
    <row r="318" ht="15" customHeight="1">
      <c r="A318" t="inlineStr">
        <is>
          <t>A 9954-2026</t>
        </is>
      </c>
      <c r="B318" s="1" t="n">
        <v>46073</v>
      </c>
      <c r="C318" s="1" t="n">
        <v>46166</v>
      </c>
      <c r="D318" t="inlineStr">
        <is>
          <t>DALARNAS LÄN</t>
        </is>
      </c>
      <c r="E318" t="inlineStr">
        <is>
          <t>GAGNEF</t>
        </is>
      </c>
      <c r="G318" t="n">
        <v>2.1</v>
      </c>
      <c r="H318" t="n">
        <v>0</v>
      </c>
      <c r="I318" t="n">
        <v>0</v>
      </c>
      <c r="J318" t="n">
        <v>0</v>
      </c>
      <c r="K318" t="n">
        <v>0</v>
      </c>
      <c r="L318" t="n">
        <v>0</v>
      </c>
      <c r="M318" t="n">
        <v>0</v>
      </c>
      <c r="N318" t="n">
        <v>0</v>
      </c>
      <c r="O318" t="n">
        <v>0</v>
      </c>
      <c r="P318" t="n">
        <v>0</v>
      </c>
      <c r="Q318" t="n">
        <v>0</v>
      </c>
      <c r="R318" s="2" t="inlineStr"/>
    </row>
    <row r="319" ht="15" customHeight="1">
      <c r="A319" t="inlineStr">
        <is>
          <t>A 64925-2021</t>
        </is>
      </c>
      <c r="B319" s="1" t="n">
        <v>44512.75452546297</v>
      </c>
      <c r="C319" s="1" t="n">
        <v>46166</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10491-2026</t>
        </is>
      </c>
      <c r="B320" s="1" t="n">
        <v>46076</v>
      </c>
      <c r="C320" s="1" t="n">
        <v>46166</v>
      </c>
      <c r="D320" t="inlineStr">
        <is>
          <t>DALARNAS LÄN</t>
        </is>
      </c>
      <c r="E320" t="inlineStr">
        <is>
          <t>GAGNEF</t>
        </is>
      </c>
      <c r="G320" t="n">
        <v>9.1</v>
      </c>
      <c r="H320" t="n">
        <v>0</v>
      </c>
      <c r="I320" t="n">
        <v>0</v>
      </c>
      <c r="J320" t="n">
        <v>0</v>
      </c>
      <c r="K320" t="n">
        <v>0</v>
      </c>
      <c r="L320" t="n">
        <v>0</v>
      </c>
      <c r="M320" t="n">
        <v>0</v>
      </c>
      <c r="N320" t="n">
        <v>0</v>
      </c>
      <c r="O320" t="n">
        <v>0</v>
      </c>
      <c r="P320" t="n">
        <v>0</v>
      </c>
      <c r="Q320" t="n">
        <v>0</v>
      </c>
      <c r="R320" s="2" t="inlineStr"/>
    </row>
    <row r="321" ht="15" customHeight="1">
      <c r="A321" t="inlineStr">
        <is>
          <t>A 8970-2026</t>
        </is>
      </c>
      <c r="B321" s="1" t="n">
        <v>46069</v>
      </c>
      <c r="C321" s="1" t="n">
        <v>46166</v>
      </c>
      <c r="D321" t="inlineStr">
        <is>
          <t>DALARNAS LÄN</t>
        </is>
      </c>
      <c r="E321" t="inlineStr">
        <is>
          <t>GAGNEF</t>
        </is>
      </c>
      <c r="G321" t="n">
        <v>2.6</v>
      </c>
      <c r="H321" t="n">
        <v>0</v>
      </c>
      <c r="I321" t="n">
        <v>0</v>
      </c>
      <c r="J321" t="n">
        <v>0</v>
      </c>
      <c r="K321" t="n">
        <v>0</v>
      </c>
      <c r="L321" t="n">
        <v>0</v>
      </c>
      <c r="M321" t="n">
        <v>0</v>
      </c>
      <c r="N321" t="n">
        <v>0</v>
      </c>
      <c r="O321" t="n">
        <v>0</v>
      </c>
      <c r="P321" t="n">
        <v>0</v>
      </c>
      <c r="Q321" t="n">
        <v>0</v>
      </c>
      <c r="R321" s="2" t="inlineStr"/>
    </row>
    <row r="322" ht="15" customHeight="1">
      <c r="A322" t="inlineStr">
        <is>
          <t>A 10328-2026</t>
        </is>
      </c>
      <c r="B322" s="1" t="n">
        <v>46076.66283564815</v>
      </c>
      <c r="C322" s="1" t="n">
        <v>46166</v>
      </c>
      <c r="D322" t="inlineStr">
        <is>
          <t>DALARNAS LÄN</t>
        </is>
      </c>
      <c r="E322" t="inlineStr">
        <is>
          <t>GAGNEF</t>
        </is>
      </c>
      <c r="G322" t="n">
        <v>0.8</v>
      </c>
      <c r="H322" t="n">
        <v>0</v>
      </c>
      <c r="I322" t="n">
        <v>0</v>
      </c>
      <c r="J322" t="n">
        <v>0</v>
      </c>
      <c r="K322" t="n">
        <v>0</v>
      </c>
      <c r="L322" t="n">
        <v>0</v>
      </c>
      <c r="M322" t="n">
        <v>0</v>
      </c>
      <c r="N322" t="n">
        <v>0</v>
      </c>
      <c r="O322" t="n">
        <v>0</v>
      </c>
      <c r="P322" t="n">
        <v>0</v>
      </c>
      <c r="Q322" t="n">
        <v>0</v>
      </c>
      <c r="R322" s="2" t="inlineStr"/>
    </row>
    <row r="323" ht="15" customHeight="1">
      <c r="A323" t="inlineStr">
        <is>
          <t>A 34467-2024</t>
        </is>
      </c>
      <c r="B323" s="1" t="n">
        <v>45525.5819212963</v>
      </c>
      <c r="C323" s="1" t="n">
        <v>46166</v>
      </c>
      <c r="D323" t="inlineStr">
        <is>
          <t>DALARNAS LÄN</t>
        </is>
      </c>
      <c r="E323" t="inlineStr">
        <is>
          <t>GAGNEF</t>
        </is>
      </c>
      <c r="G323" t="n">
        <v>0.8</v>
      </c>
      <c r="H323" t="n">
        <v>0</v>
      </c>
      <c r="I323" t="n">
        <v>0</v>
      </c>
      <c r="J323" t="n">
        <v>0</v>
      </c>
      <c r="K323" t="n">
        <v>0</v>
      </c>
      <c r="L323" t="n">
        <v>0</v>
      </c>
      <c r="M323" t="n">
        <v>0</v>
      </c>
      <c r="N323" t="n">
        <v>0</v>
      </c>
      <c r="O323" t="n">
        <v>0</v>
      </c>
      <c r="P323" t="n">
        <v>0</v>
      </c>
      <c r="Q323" t="n">
        <v>0</v>
      </c>
      <c r="R323" s="2" t="inlineStr"/>
    </row>
    <row r="324" ht="15" customHeight="1">
      <c r="A324" t="inlineStr">
        <is>
          <t>A 10887-2026</t>
        </is>
      </c>
      <c r="B324" s="1" t="n">
        <v>46078</v>
      </c>
      <c r="C324" s="1" t="n">
        <v>46166</v>
      </c>
      <c r="D324" t="inlineStr">
        <is>
          <t>DALARNAS LÄN</t>
        </is>
      </c>
      <c r="E324" t="inlineStr">
        <is>
          <t>GAGNEF</t>
        </is>
      </c>
      <c r="G324" t="n">
        <v>12.2</v>
      </c>
      <c r="H324" t="n">
        <v>0</v>
      </c>
      <c r="I324" t="n">
        <v>0</v>
      </c>
      <c r="J324" t="n">
        <v>0</v>
      </c>
      <c r="K324" t="n">
        <v>0</v>
      </c>
      <c r="L324" t="n">
        <v>0</v>
      </c>
      <c r="M324" t="n">
        <v>0</v>
      </c>
      <c r="N324" t="n">
        <v>0</v>
      </c>
      <c r="O324" t="n">
        <v>0</v>
      </c>
      <c r="P324" t="n">
        <v>0</v>
      </c>
      <c r="Q324" t="n">
        <v>0</v>
      </c>
      <c r="R324" s="2" t="inlineStr"/>
    </row>
    <row r="325" ht="15" customHeight="1">
      <c r="A325" t="inlineStr">
        <is>
          <t>A 25024-2023</t>
        </is>
      </c>
      <c r="B325" s="1" t="n">
        <v>45085</v>
      </c>
      <c r="C325" s="1" t="n">
        <v>46166</v>
      </c>
      <c r="D325" t="inlineStr">
        <is>
          <t>DALARNAS LÄN</t>
        </is>
      </c>
      <c r="E325" t="inlineStr">
        <is>
          <t>GAGNEF</t>
        </is>
      </c>
      <c r="G325" t="n">
        <v>0.5</v>
      </c>
      <c r="H325" t="n">
        <v>0</v>
      </c>
      <c r="I325" t="n">
        <v>0</v>
      </c>
      <c r="J325" t="n">
        <v>0</v>
      </c>
      <c r="K325" t="n">
        <v>0</v>
      </c>
      <c r="L325" t="n">
        <v>0</v>
      </c>
      <c r="M325" t="n">
        <v>0</v>
      </c>
      <c r="N325" t="n">
        <v>0</v>
      </c>
      <c r="O325" t="n">
        <v>0</v>
      </c>
      <c r="P325" t="n">
        <v>0</v>
      </c>
      <c r="Q325" t="n">
        <v>0</v>
      </c>
      <c r="R325" s="2" t="inlineStr"/>
    </row>
    <row r="326" ht="15" customHeight="1">
      <c r="A326" t="inlineStr">
        <is>
          <t>A 11311-2026</t>
        </is>
      </c>
      <c r="B326" s="1" t="n">
        <v>46080</v>
      </c>
      <c r="C326" s="1" t="n">
        <v>46166</v>
      </c>
      <c r="D326" t="inlineStr">
        <is>
          <t>DALARNAS LÄN</t>
        </is>
      </c>
      <c r="E326" t="inlineStr">
        <is>
          <t>GAGNEF</t>
        </is>
      </c>
      <c r="G326" t="n">
        <v>3.9</v>
      </c>
      <c r="H326" t="n">
        <v>0</v>
      </c>
      <c r="I326" t="n">
        <v>0</v>
      </c>
      <c r="J326" t="n">
        <v>0</v>
      </c>
      <c r="K326" t="n">
        <v>0</v>
      </c>
      <c r="L326" t="n">
        <v>0</v>
      </c>
      <c r="M326" t="n">
        <v>0</v>
      </c>
      <c r="N326" t="n">
        <v>0</v>
      </c>
      <c r="O326" t="n">
        <v>0</v>
      </c>
      <c r="P326" t="n">
        <v>0</v>
      </c>
      <c r="Q326" t="n">
        <v>0</v>
      </c>
      <c r="R326" s="2" t="inlineStr"/>
    </row>
    <row r="327" ht="15" customHeight="1">
      <c r="A327" t="inlineStr">
        <is>
          <t>A 337-2025</t>
        </is>
      </c>
      <c r="B327" s="1" t="n">
        <v>45660.68168981482</v>
      </c>
      <c r="C327" s="1" t="n">
        <v>46166</v>
      </c>
      <c r="D327" t="inlineStr">
        <is>
          <t>DALARNAS LÄN</t>
        </is>
      </c>
      <c r="E327" t="inlineStr">
        <is>
          <t>GAGNEF</t>
        </is>
      </c>
      <c r="G327" t="n">
        <v>2.2</v>
      </c>
      <c r="H327" t="n">
        <v>0</v>
      </c>
      <c r="I327" t="n">
        <v>0</v>
      </c>
      <c r="J327" t="n">
        <v>0</v>
      </c>
      <c r="K327" t="n">
        <v>0</v>
      </c>
      <c r="L327" t="n">
        <v>0</v>
      </c>
      <c r="M327" t="n">
        <v>0</v>
      </c>
      <c r="N327" t="n">
        <v>0</v>
      </c>
      <c r="O327" t="n">
        <v>0</v>
      </c>
      <c r="P327" t="n">
        <v>0</v>
      </c>
      <c r="Q327" t="n">
        <v>0</v>
      </c>
      <c r="R327" s="2" t="inlineStr"/>
    </row>
    <row r="328" ht="15" customHeight="1">
      <c r="A328" t="inlineStr">
        <is>
          <t>A 17854-2024</t>
        </is>
      </c>
      <c r="B328" s="1" t="n">
        <v>45419.41003472222</v>
      </c>
      <c r="C328" s="1" t="n">
        <v>46166</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41952-2024</t>
        </is>
      </c>
      <c r="B329" s="1" t="n">
        <v>45561.58697916667</v>
      </c>
      <c r="C329" s="1" t="n">
        <v>46166</v>
      </c>
      <c r="D329" t="inlineStr">
        <is>
          <t>DALARNAS LÄN</t>
        </is>
      </c>
      <c r="E329" t="inlineStr">
        <is>
          <t>GAGNEF</t>
        </is>
      </c>
      <c r="G329" t="n">
        <v>1.5</v>
      </c>
      <c r="H329" t="n">
        <v>0</v>
      </c>
      <c r="I329" t="n">
        <v>0</v>
      </c>
      <c r="J329" t="n">
        <v>0</v>
      </c>
      <c r="K329" t="n">
        <v>0</v>
      </c>
      <c r="L329" t="n">
        <v>0</v>
      </c>
      <c r="M329" t="n">
        <v>0</v>
      </c>
      <c r="N329" t="n">
        <v>0</v>
      </c>
      <c r="O329" t="n">
        <v>0</v>
      </c>
      <c r="P329" t="n">
        <v>0</v>
      </c>
      <c r="Q329" t="n">
        <v>0</v>
      </c>
      <c r="R329" s="2" t="inlineStr"/>
    </row>
    <row r="330" ht="15" customHeight="1">
      <c r="A330" t="inlineStr">
        <is>
          <t>A 18038-2026</t>
        </is>
      </c>
      <c r="B330" s="1" t="n">
        <v>46125.40386574074</v>
      </c>
      <c r="C330" s="1" t="n">
        <v>46166</v>
      </c>
      <c r="D330" t="inlineStr">
        <is>
          <t>DALARNAS LÄN</t>
        </is>
      </c>
      <c r="E330" t="inlineStr">
        <is>
          <t>GAGNEF</t>
        </is>
      </c>
      <c r="G330" t="n">
        <v>6.1</v>
      </c>
      <c r="H330" t="n">
        <v>0</v>
      </c>
      <c r="I330" t="n">
        <v>0</v>
      </c>
      <c r="J330" t="n">
        <v>0</v>
      </c>
      <c r="K330" t="n">
        <v>0</v>
      </c>
      <c r="L330" t="n">
        <v>0</v>
      </c>
      <c r="M330" t="n">
        <v>0</v>
      </c>
      <c r="N330" t="n">
        <v>0</v>
      </c>
      <c r="O330" t="n">
        <v>0</v>
      </c>
      <c r="P330" t="n">
        <v>0</v>
      </c>
      <c r="Q330" t="n">
        <v>0</v>
      </c>
      <c r="R330" s="2" t="inlineStr"/>
    </row>
    <row r="331" ht="15" customHeight="1">
      <c r="A331" t="inlineStr">
        <is>
          <t>A 11397-2026</t>
        </is>
      </c>
      <c r="B331" s="1" t="n">
        <v>46083</v>
      </c>
      <c r="C331" s="1" t="n">
        <v>46166</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31804-2024</t>
        </is>
      </c>
      <c r="B332" s="1" t="n">
        <v>45509.57237268519</v>
      </c>
      <c r="C332" s="1" t="n">
        <v>46166</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41442-2024</t>
        </is>
      </c>
      <c r="B333" s="1" t="n">
        <v>45560.39084490741</v>
      </c>
      <c r="C333" s="1" t="n">
        <v>46166</v>
      </c>
      <c r="D333" t="inlineStr">
        <is>
          <t>DALARNAS LÄN</t>
        </is>
      </c>
      <c r="E333" t="inlineStr">
        <is>
          <t>GAGNEF</t>
        </is>
      </c>
      <c r="G333" t="n">
        <v>2.2</v>
      </c>
      <c r="H333" t="n">
        <v>0</v>
      </c>
      <c r="I333" t="n">
        <v>0</v>
      </c>
      <c r="J333" t="n">
        <v>0</v>
      </c>
      <c r="K333" t="n">
        <v>0</v>
      </c>
      <c r="L333" t="n">
        <v>0</v>
      </c>
      <c r="M333" t="n">
        <v>0</v>
      </c>
      <c r="N333" t="n">
        <v>0</v>
      </c>
      <c r="O333" t="n">
        <v>0</v>
      </c>
      <c r="P333" t="n">
        <v>0</v>
      </c>
      <c r="Q333" t="n">
        <v>0</v>
      </c>
      <c r="R333" s="2" t="inlineStr"/>
    </row>
    <row r="334" ht="15" customHeight="1">
      <c r="A334" t="inlineStr">
        <is>
          <t>A 20486-2024</t>
        </is>
      </c>
      <c r="B334" s="1" t="n">
        <v>45435.76391203704</v>
      </c>
      <c r="C334" s="1" t="n">
        <v>46166</v>
      </c>
      <c r="D334" t="inlineStr">
        <is>
          <t>DALARNAS LÄN</t>
        </is>
      </c>
      <c r="E334" t="inlineStr">
        <is>
          <t>GAGNEF</t>
        </is>
      </c>
      <c r="G334" t="n">
        <v>10.1</v>
      </c>
      <c r="H334" t="n">
        <v>0</v>
      </c>
      <c r="I334" t="n">
        <v>0</v>
      </c>
      <c r="J334" t="n">
        <v>0</v>
      </c>
      <c r="K334" t="n">
        <v>0</v>
      </c>
      <c r="L334" t="n">
        <v>0</v>
      </c>
      <c r="M334" t="n">
        <v>0</v>
      </c>
      <c r="N334" t="n">
        <v>0</v>
      </c>
      <c r="O334" t="n">
        <v>0</v>
      </c>
      <c r="P334" t="n">
        <v>0</v>
      </c>
      <c r="Q334" t="n">
        <v>0</v>
      </c>
      <c r="R334" s="2" t="inlineStr"/>
    </row>
    <row r="335" ht="15" customHeight="1">
      <c r="A335" t="inlineStr">
        <is>
          <t>A 52159-2023</t>
        </is>
      </c>
      <c r="B335" s="1" t="n">
        <v>45224</v>
      </c>
      <c r="C335" s="1" t="n">
        <v>46166</v>
      </c>
      <c r="D335" t="inlineStr">
        <is>
          <t>DALARNAS LÄN</t>
        </is>
      </c>
      <c r="E335" t="inlineStr">
        <is>
          <t>GAGNEF</t>
        </is>
      </c>
      <c r="G335" t="n">
        <v>1</v>
      </c>
      <c r="H335" t="n">
        <v>0</v>
      </c>
      <c r="I335" t="n">
        <v>0</v>
      </c>
      <c r="J335" t="n">
        <v>0</v>
      </c>
      <c r="K335" t="n">
        <v>0</v>
      </c>
      <c r="L335" t="n">
        <v>0</v>
      </c>
      <c r="M335" t="n">
        <v>0</v>
      </c>
      <c r="N335" t="n">
        <v>0</v>
      </c>
      <c r="O335" t="n">
        <v>0</v>
      </c>
      <c r="P335" t="n">
        <v>0</v>
      </c>
      <c r="Q335" t="n">
        <v>0</v>
      </c>
      <c r="R335" s="2" t="inlineStr"/>
    </row>
    <row r="336" ht="15" customHeight="1">
      <c r="A336" t="inlineStr">
        <is>
          <t>A 19703-2026</t>
        </is>
      </c>
      <c r="B336" s="1" t="n">
        <v>46134</v>
      </c>
      <c r="C336" s="1" t="n">
        <v>46166</v>
      </c>
      <c r="D336" t="inlineStr">
        <is>
          <t>DALARNAS LÄN</t>
        </is>
      </c>
      <c r="E336" t="inlineStr">
        <is>
          <t>GAGNEF</t>
        </is>
      </c>
      <c r="G336" t="n">
        <v>5.9</v>
      </c>
      <c r="H336" t="n">
        <v>0</v>
      </c>
      <c r="I336" t="n">
        <v>0</v>
      </c>
      <c r="J336" t="n">
        <v>0</v>
      </c>
      <c r="K336" t="n">
        <v>0</v>
      </c>
      <c r="L336" t="n">
        <v>0</v>
      </c>
      <c r="M336" t="n">
        <v>0</v>
      </c>
      <c r="N336" t="n">
        <v>0</v>
      </c>
      <c r="O336" t="n">
        <v>0</v>
      </c>
      <c r="P336" t="n">
        <v>0</v>
      </c>
      <c r="Q336" t="n">
        <v>0</v>
      </c>
      <c r="R336" s="2" t="inlineStr"/>
    </row>
    <row r="337" ht="15" customHeight="1">
      <c r="A337" t="inlineStr">
        <is>
          <t>A 25853-2024</t>
        </is>
      </c>
      <c r="B337" s="1" t="n">
        <v>45467.44922453703</v>
      </c>
      <c r="C337" s="1" t="n">
        <v>46166</v>
      </c>
      <c r="D337" t="inlineStr">
        <is>
          <t>DALARNAS LÄN</t>
        </is>
      </c>
      <c r="E337" t="inlineStr">
        <is>
          <t>GAGNEF</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20455-2026</t>
        </is>
      </c>
      <c r="B338" s="1" t="n">
        <v>46140.43230324074</v>
      </c>
      <c r="C338" s="1" t="n">
        <v>46166</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20306-2026</t>
        </is>
      </c>
      <c r="B339" s="1" t="n">
        <v>46139.581875</v>
      </c>
      <c r="C339" s="1" t="n">
        <v>46166</v>
      </c>
      <c r="D339" t="inlineStr">
        <is>
          <t>DALARNAS LÄN</t>
        </is>
      </c>
      <c r="E339" t="inlineStr">
        <is>
          <t>GAGNEF</t>
        </is>
      </c>
      <c r="G339" t="n">
        <v>5.5</v>
      </c>
      <c r="H339" t="n">
        <v>0</v>
      </c>
      <c r="I339" t="n">
        <v>0</v>
      </c>
      <c r="J339" t="n">
        <v>0</v>
      </c>
      <c r="K339" t="n">
        <v>0</v>
      </c>
      <c r="L339" t="n">
        <v>0</v>
      </c>
      <c r="M339" t="n">
        <v>0</v>
      </c>
      <c r="N339" t="n">
        <v>0</v>
      </c>
      <c r="O339" t="n">
        <v>0</v>
      </c>
      <c r="P339" t="n">
        <v>0</v>
      </c>
      <c r="Q339" t="n">
        <v>0</v>
      </c>
      <c r="R339" s="2" t="inlineStr"/>
    </row>
    <row r="340" ht="15" customHeight="1">
      <c r="A340" t="inlineStr">
        <is>
          <t>A 14015-2026</t>
        </is>
      </c>
      <c r="B340" s="1" t="n">
        <v>46098</v>
      </c>
      <c r="C340" s="1" t="n">
        <v>46166</v>
      </c>
      <c r="D340" t="inlineStr">
        <is>
          <t>DALARNAS LÄN</t>
        </is>
      </c>
      <c r="E340" t="inlineStr">
        <is>
          <t>GAGNEF</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6566-2022</t>
        </is>
      </c>
      <c r="B341" s="1" t="n">
        <v>44601</v>
      </c>
      <c r="C341" s="1" t="n">
        <v>46166</v>
      </c>
      <c r="D341" t="inlineStr">
        <is>
          <t>DALARNAS LÄN</t>
        </is>
      </c>
      <c r="E341" t="inlineStr">
        <is>
          <t>GAGNEF</t>
        </is>
      </c>
      <c r="G341" t="n">
        <v>0.7</v>
      </c>
      <c r="H341" t="n">
        <v>0</v>
      </c>
      <c r="I341" t="n">
        <v>0</v>
      </c>
      <c r="J341" t="n">
        <v>0</v>
      </c>
      <c r="K341" t="n">
        <v>0</v>
      </c>
      <c r="L341" t="n">
        <v>0</v>
      </c>
      <c r="M341" t="n">
        <v>0</v>
      </c>
      <c r="N341" t="n">
        <v>0</v>
      </c>
      <c r="O341" t="n">
        <v>0</v>
      </c>
      <c r="P341" t="n">
        <v>0</v>
      </c>
      <c r="Q341" t="n">
        <v>0</v>
      </c>
      <c r="R341" s="2" t="inlineStr"/>
    </row>
    <row r="342" ht="15" customHeight="1">
      <c r="A342" t="inlineStr">
        <is>
          <t>A 44334-2024</t>
        </is>
      </c>
      <c r="B342" s="1" t="n">
        <v>45573.60828703704</v>
      </c>
      <c r="C342" s="1" t="n">
        <v>46166</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61871-2024</t>
        </is>
      </c>
      <c r="B343" s="1" t="n">
        <v>45651.8659375</v>
      </c>
      <c r="C343" s="1" t="n">
        <v>46166</v>
      </c>
      <c r="D343" t="inlineStr">
        <is>
          <t>DALARNAS LÄN</t>
        </is>
      </c>
      <c r="E343" t="inlineStr">
        <is>
          <t>GAGNEF</t>
        </is>
      </c>
      <c r="F343" t="inlineStr">
        <is>
          <t>Bergvik skog väst AB</t>
        </is>
      </c>
      <c r="G343" t="n">
        <v>10</v>
      </c>
      <c r="H343" t="n">
        <v>0</v>
      </c>
      <c r="I343" t="n">
        <v>0</v>
      </c>
      <c r="J343" t="n">
        <v>0</v>
      </c>
      <c r="K343" t="n">
        <v>0</v>
      </c>
      <c r="L343" t="n">
        <v>0</v>
      </c>
      <c r="M343" t="n">
        <v>0</v>
      </c>
      <c r="N343" t="n">
        <v>0</v>
      </c>
      <c r="O343" t="n">
        <v>0</v>
      </c>
      <c r="P343" t="n">
        <v>0</v>
      </c>
      <c r="Q343" t="n">
        <v>0</v>
      </c>
      <c r="R343" s="2" t="inlineStr"/>
    </row>
    <row r="344" ht="15" customHeight="1">
      <c r="A344" t="inlineStr">
        <is>
          <t>A 38723-2025</t>
        </is>
      </c>
      <c r="B344" s="1" t="n">
        <v>45886</v>
      </c>
      <c r="C344" s="1" t="n">
        <v>46166</v>
      </c>
      <c r="D344" t="inlineStr">
        <is>
          <t>DALARNAS LÄN</t>
        </is>
      </c>
      <c r="E344" t="inlineStr">
        <is>
          <t>GAGNEF</t>
        </is>
      </c>
      <c r="G344" t="n">
        <v>0.9</v>
      </c>
      <c r="H344" t="n">
        <v>0</v>
      </c>
      <c r="I344" t="n">
        <v>0</v>
      </c>
      <c r="J344" t="n">
        <v>0</v>
      </c>
      <c r="K344" t="n">
        <v>0</v>
      </c>
      <c r="L344" t="n">
        <v>0</v>
      </c>
      <c r="M344" t="n">
        <v>0</v>
      </c>
      <c r="N344" t="n">
        <v>0</v>
      </c>
      <c r="O344" t="n">
        <v>0</v>
      </c>
      <c r="P344" t="n">
        <v>0</v>
      </c>
      <c r="Q344" t="n">
        <v>0</v>
      </c>
      <c r="R344" s="2" t="inlineStr"/>
    </row>
    <row r="345" ht="15" customHeight="1">
      <c r="A345" t="inlineStr">
        <is>
          <t>A 35814-2024</t>
        </is>
      </c>
      <c r="B345" s="1" t="n">
        <v>45532.65449074074</v>
      </c>
      <c r="C345" s="1" t="n">
        <v>46166</v>
      </c>
      <c r="D345" t="inlineStr">
        <is>
          <t>DALARNAS LÄN</t>
        </is>
      </c>
      <c r="E345" t="inlineStr">
        <is>
          <t>GAGNEF</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51231-2023</t>
        </is>
      </c>
      <c r="B346" s="1" t="n">
        <v>45219</v>
      </c>
      <c r="C346" s="1" t="n">
        <v>46166</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31245-2024</t>
        </is>
      </c>
      <c r="B347" s="1" t="n">
        <v>45503.65226851852</v>
      </c>
      <c r="C347" s="1" t="n">
        <v>46166</v>
      </c>
      <c r="D347" t="inlineStr">
        <is>
          <t>DALARNAS LÄN</t>
        </is>
      </c>
      <c r="E347" t="inlineStr">
        <is>
          <t>GAGNEF</t>
        </is>
      </c>
      <c r="G347" t="n">
        <v>0.9</v>
      </c>
      <c r="H347" t="n">
        <v>0</v>
      </c>
      <c r="I347" t="n">
        <v>0</v>
      </c>
      <c r="J347" t="n">
        <v>0</v>
      </c>
      <c r="K347" t="n">
        <v>0</v>
      </c>
      <c r="L347" t="n">
        <v>0</v>
      </c>
      <c r="M347" t="n">
        <v>0</v>
      </c>
      <c r="N347" t="n">
        <v>0</v>
      </c>
      <c r="O347" t="n">
        <v>0</v>
      </c>
      <c r="P347" t="n">
        <v>0</v>
      </c>
      <c r="Q347" t="n">
        <v>0</v>
      </c>
      <c r="R347" s="2" t="inlineStr"/>
    </row>
    <row r="348" ht="15" customHeight="1">
      <c r="A348" t="inlineStr">
        <is>
          <t>A 59893-2021</t>
        </is>
      </c>
      <c r="B348" s="1" t="n">
        <v>44494</v>
      </c>
      <c r="C348" s="1" t="n">
        <v>46166</v>
      </c>
      <c r="D348" t="inlineStr">
        <is>
          <t>DALARNAS LÄN</t>
        </is>
      </c>
      <c r="E348" t="inlineStr">
        <is>
          <t>GAGNEF</t>
        </is>
      </c>
      <c r="G348" t="n">
        <v>1.6</v>
      </c>
      <c r="H348" t="n">
        <v>0</v>
      </c>
      <c r="I348" t="n">
        <v>0</v>
      </c>
      <c r="J348" t="n">
        <v>0</v>
      </c>
      <c r="K348" t="n">
        <v>0</v>
      </c>
      <c r="L348" t="n">
        <v>0</v>
      </c>
      <c r="M348" t="n">
        <v>0</v>
      </c>
      <c r="N348" t="n">
        <v>0</v>
      </c>
      <c r="O348" t="n">
        <v>0</v>
      </c>
      <c r="P348" t="n">
        <v>0</v>
      </c>
      <c r="Q348" t="n">
        <v>0</v>
      </c>
      <c r="R348" s="2" t="inlineStr"/>
    </row>
    <row r="349" ht="15" customHeight="1">
      <c r="A349" t="inlineStr">
        <is>
          <t>A 10995-2024</t>
        </is>
      </c>
      <c r="B349" s="1" t="n">
        <v>45370.55768518519</v>
      </c>
      <c r="C349" s="1" t="n">
        <v>46166</v>
      </c>
      <c r="D349" t="inlineStr">
        <is>
          <t>DALARNAS LÄN</t>
        </is>
      </c>
      <c r="E349" t="inlineStr">
        <is>
          <t>GAGNEF</t>
        </is>
      </c>
      <c r="G349" t="n">
        <v>2.4</v>
      </c>
      <c r="H349" t="n">
        <v>0</v>
      </c>
      <c r="I349" t="n">
        <v>0</v>
      </c>
      <c r="J349" t="n">
        <v>0</v>
      </c>
      <c r="K349" t="n">
        <v>0</v>
      </c>
      <c r="L349" t="n">
        <v>0</v>
      </c>
      <c r="M349" t="n">
        <v>0</v>
      </c>
      <c r="N349" t="n">
        <v>0</v>
      </c>
      <c r="O349" t="n">
        <v>0</v>
      </c>
      <c r="P349" t="n">
        <v>0</v>
      </c>
      <c r="Q349" t="n">
        <v>0</v>
      </c>
      <c r="R349" s="2" t="inlineStr"/>
    </row>
    <row r="350" ht="15" customHeight="1">
      <c r="A350" t="inlineStr">
        <is>
          <t>A 15548-2026</t>
        </is>
      </c>
      <c r="B350" s="1" t="n">
        <v>46106.52621527778</v>
      </c>
      <c r="C350" s="1" t="n">
        <v>46166</v>
      </c>
      <c r="D350" t="inlineStr">
        <is>
          <t>DALARNAS LÄN</t>
        </is>
      </c>
      <c r="E350" t="inlineStr">
        <is>
          <t>GAGNEF</t>
        </is>
      </c>
      <c r="G350" t="n">
        <v>3.2</v>
      </c>
      <c r="H350" t="n">
        <v>0</v>
      </c>
      <c r="I350" t="n">
        <v>0</v>
      </c>
      <c r="J350" t="n">
        <v>0</v>
      </c>
      <c r="K350" t="n">
        <v>0</v>
      </c>
      <c r="L350" t="n">
        <v>0</v>
      </c>
      <c r="M350" t="n">
        <v>0</v>
      </c>
      <c r="N350" t="n">
        <v>0</v>
      </c>
      <c r="O350" t="n">
        <v>0</v>
      </c>
      <c r="P350" t="n">
        <v>0</v>
      </c>
      <c r="Q350" t="n">
        <v>0</v>
      </c>
      <c r="R350" s="2" t="inlineStr"/>
    </row>
    <row r="351" ht="15" customHeight="1">
      <c r="A351" t="inlineStr">
        <is>
          <t>A 15184-2026</t>
        </is>
      </c>
      <c r="B351" s="1" t="n">
        <v>46105.45637731482</v>
      </c>
      <c r="C351" s="1" t="n">
        <v>46166</v>
      </c>
      <c r="D351" t="inlineStr">
        <is>
          <t>DALARNAS LÄN</t>
        </is>
      </c>
      <c r="E351" t="inlineStr">
        <is>
          <t>GAGNEF</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48805-2024</t>
        </is>
      </c>
      <c r="B352" s="1" t="n">
        <v>45593.66460648148</v>
      </c>
      <c r="C352" s="1" t="n">
        <v>46166</v>
      </c>
      <c r="D352" t="inlineStr">
        <is>
          <t>DALARNAS LÄN</t>
        </is>
      </c>
      <c r="E352" t="inlineStr">
        <is>
          <t>GAGNEF</t>
        </is>
      </c>
      <c r="G352" t="n">
        <v>0.4</v>
      </c>
      <c r="H352" t="n">
        <v>0</v>
      </c>
      <c r="I352" t="n">
        <v>0</v>
      </c>
      <c r="J352" t="n">
        <v>0</v>
      </c>
      <c r="K352" t="n">
        <v>0</v>
      </c>
      <c r="L352" t="n">
        <v>0</v>
      </c>
      <c r="M352" t="n">
        <v>0</v>
      </c>
      <c r="N352" t="n">
        <v>0</v>
      </c>
      <c r="O352" t="n">
        <v>0</v>
      </c>
      <c r="P352" t="n">
        <v>0</v>
      </c>
      <c r="Q352" t="n">
        <v>0</v>
      </c>
      <c r="R352" s="2" t="inlineStr"/>
    </row>
    <row r="353" ht="15" customHeight="1">
      <c r="A353" t="inlineStr">
        <is>
          <t>A 604-2025</t>
        </is>
      </c>
      <c r="B353" s="1" t="n">
        <v>45664</v>
      </c>
      <c r="C353" s="1" t="n">
        <v>46166</v>
      </c>
      <c r="D353" t="inlineStr">
        <is>
          <t>DALARNAS LÄN</t>
        </is>
      </c>
      <c r="E353" t="inlineStr">
        <is>
          <t>GAGNEF</t>
        </is>
      </c>
      <c r="G353" t="n">
        <v>1.1</v>
      </c>
      <c r="H353" t="n">
        <v>0</v>
      </c>
      <c r="I353" t="n">
        <v>0</v>
      </c>
      <c r="J353" t="n">
        <v>0</v>
      </c>
      <c r="K353" t="n">
        <v>0</v>
      </c>
      <c r="L353" t="n">
        <v>0</v>
      </c>
      <c r="M353" t="n">
        <v>0</v>
      </c>
      <c r="N353" t="n">
        <v>0</v>
      </c>
      <c r="O353" t="n">
        <v>0</v>
      </c>
      <c r="P353" t="n">
        <v>0</v>
      </c>
      <c r="Q353" t="n">
        <v>0</v>
      </c>
      <c r="R353" s="2" t="inlineStr"/>
    </row>
    <row r="354" ht="15" customHeight="1">
      <c r="A354" t="inlineStr">
        <is>
          <t>A 36011-2023</t>
        </is>
      </c>
      <c r="B354" s="1" t="n">
        <v>45148</v>
      </c>
      <c r="C354" s="1" t="n">
        <v>46166</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21594-2026</t>
        </is>
      </c>
      <c r="B355" s="1" t="n">
        <v>46149</v>
      </c>
      <c r="C355" s="1" t="n">
        <v>46166</v>
      </c>
      <c r="D355" t="inlineStr">
        <is>
          <t>DALARNAS LÄN</t>
        </is>
      </c>
      <c r="E355" t="inlineStr">
        <is>
          <t>GAGNEF</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15942-2026</t>
        </is>
      </c>
      <c r="B356" s="1" t="n">
        <v>46107</v>
      </c>
      <c r="C356" s="1" t="n">
        <v>46166</v>
      </c>
      <c r="D356" t="inlineStr">
        <is>
          <t>DALARNAS LÄN</t>
        </is>
      </c>
      <c r="E356" t="inlineStr">
        <is>
          <t>GAGNEF</t>
        </is>
      </c>
      <c r="G356" t="n">
        <v>1.8</v>
      </c>
      <c r="H356" t="n">
        <v>0</v>
      </c>
      <c r="I356" t="n">
        <v>0</v>
      </c>
      <c r="J356" t="n">
        <v>0</v>
      </c>
      <c r="K356" t="n">
        <v>0</v>
      </c>
      <c r="L356" t="n">
        <v>0</v>
      </c>
      <c r="M356" t="n">
        <v>0</v>
      </c>
      <c r="N356" t="n">
        <v>0</v>
      </c>
      <c r="O356" t="n">
        <v>0</v>
      </c>
      <c r="P356" t="n">
        <v>0</v>
      </c>
      <c r="Q356" t="n">
        <v>0</v>
      </c>
      <c r="R356" s="2" t="inlineStr"/>
    </row>
    <row r="357" ht="15" customHeight="1">
      <c r="A357" t="inlineStr">
        <is>
          <t>A 15943-2026</t>
        </is>
      </c>
      <c r="B357" s="1" t="n">
        <v>46107.71689814814</v>
      </c>
      <c r="C357" s="1" t="n">
        <v>46166</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15945-2026</t>
        </is>
      </c>
      <c r="B358" s="1" t="n">
        <v>46107.72236111111</v>
      </c>
      <c r="C358" s="1" t="n">
        <v>46166</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46166</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4601-2026</t>
        </is>
      </c>
      <c r="B360" s="1" t="n">
        <v>46048</v>
      </c>
      <c r="C360" s="1" t="n">
        <v>46166</v>
      </c>
      <c r="D360" t="inlineStr">
        <is>
          <t>DALARNAS LÄN</t>
        </is>
      </c>
      <c r="E360" t="inlineStr">
        <is>
          <t>GAGNEF</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56807-2023</t>
        </is>
      </c>
      <c r="B361" s="1" t="n">
        <v>45244</v>
      </c>
      <c r="C361" s="1" t="n">
        <v>46166</v>
      </c>
      <c r="D361" t="inlineStr">
        <is>
          <t>DALARNAS LÄN</t>
        </is>
      </c>
      <c r="E361" t="inlineStr">
        <is>
          <t>GAGNEF</t>
        </is>
      </c>
      <c r="G361" t="n">
        <v>10.9</v>
      </c>
      <c r="H361" t="n">
        <v>0</v>
      </c>
      <c r="I361" t="n">
        <v>0</v>
      </c>
      <c r="J361" t="n">
        <v>0</v>
      </c>
      <c r="K361" t="n">
        <v>0</v>
      </c>
      <c r="L361" t="n">
        <v>0</v>
      </c>
      <c r="M361" t="n">
        <v>0</v>
      </c>
      <c r="N361" t="n">
        <v>0</v>
      </c>
      <c r="O361" t="n">
        <v>0</v>
      </c>
      <c r="P361" t="n">
        <v>0</v>
      </c>
      <c r="Q361" t="n">
        <v>0</v>
      </c>
      <c r="R361" s="2" t="inlineStr"/>
    </row>
    <row r="362" ht="15" customHeight="1">
      <c r="A362" t="inlineStr">
        <is>
          <t>A 51138-2022</t>
        </is>
      </c>
      <c r="B362" s="1" t="n">
        <v>44868</v>
      </c>
      <c r="C362" s="1" t="n">
        <v>46166</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5347-2025</t>
        </is>
      </c>
      <c r="B363" s="1" t="n">
        <v>45692.55440972222</v>
      </c>
      <c r="C363" s="1" t="n">
        <v>46166</v>
      </c>
      <c r="D363" t="inlineStr">
        <is>
          <t>DALARNAS LÄN</t>
        </is>
      </c>
      <c r="E363" t="inlineStr">
        <is>
          <t>GAGNEF</t>
        </is>
      </c>
      <c r="G363" t="n">
        <v>1</v>
      </c>
      <c r="H363" t="n">
        <v>0</v>
      </c>
      <c r="I363" t="n">
        <v>0</v>
      </c>
      <c r="J363" t="n">
        <v>0</v>
      </c>
      <c r="K363" t="n">
        <v>0</v>
      </c>
      <c r="L363" t="n">
        <v>0</v>
      </c>
      <c r="M363" t="n">
        <v>0</v>
      </c>
      <c r="N363" t="n">
        <v>0</v>
      </c>
      <c r="O363" t="n">
        <v>0</v>
      </c>
      <c r="P363" t="n">
        <v>0</v>
      </c>
      <c r="Q363" t="n">
        <v>0</v>
      </c>
      <c r="R363" s="2" t="inlineStr"/>
    </row>
    <row r="364" ht="15" customHeight="1">
      <c r="A364" t="inlineStr">
        <is>
          <t>A 5859-2025</t>
        </is>
      </c>
      <c r="B364" s="1" t="n">
        <v>45695.34581018519</v>
      </c>
      <c r="C364" s="1" t="n">
        <v>46166</v>
      </c>
      <c r="D364" t="inlineStr">
        <is>
          <t>DALARNAS LÄN</t>
        </is>
      </c>
      <c r="E364" t="inlineStr">
        <is>
          <t>GAGNEF</t>
        </is>
      </c>
      <c r="G364" t="n">
        <v>0.5</v>
      </c>
      <c r="H364" t="n">
        <v>0</v>
      </c>
      <c r="I364" t="n">
        <v>0</v>
      </c>
      <c r="J364" t="n">
        <v>0</v>
      </c>
      <c r="K364" t="n">
        <v>0</v>
      </c>
      <c r="L364" t="n">
        <v>0</v>
      </c>
      <c r="M364" t="n">
        <v>0</v>
      </c>
      <c r="N364" t="n">
        <v>0</v>
      </c>
      <c r="O364" t="n">
        <v>0</v>
      </c>
      <c r="P364" t="n">
        <v>0</v>
      </c>
      <c r="Q364" t="n">
        <v>0</v>
      </c>
      <c r="R364" s="2" t="inlineStr"/>
    </row>
    <row r="365" ht="15" customHeight="1">
      <c r="A365" t="inlineStr">
        <is>
          <t>A 36005-2023</t>
        </is>
      </c>
      <c r="B365" s="1" t="n">
        <v>45148</v>
      </c>
      <c r="C365" s="1" t="n">
        <v>46166</v>
      </c>
      <c r="D365" t="inlineStr">
        <is>
          <t>DALARNAS LÄN</t>
        </is>
      </c>
      <c r="E365" t="inlineStr">
        <is>
          <t>GAGNEF</t>
        </is>
      </c>
      <c r="G365" t="n">
        <v>1.2</v>
      </c>
      <c r="H365" t="n">
        <v>0</v>
      </c>
      <c r="I365" t="n">
        <v>0</v>
      </c>
      <c r="J365" t="n">
        <v>0</v>
      </c>
      <c r="K365" t="n">
        <v>0</v>
      </c>
      <c r="L365" t="n">
        <v>0</v>
      </c>
      <c r="M365" t="n">
        <v>0</v>
      </c>
      <c r="N365" t="n">
        <v>0</v>
      </c>
      <c r="O365" t="n">
        <v>0</v>
      </c>
      <c r="P365" t="n">
        <v>0</v>
      </c>
      <c r="Q365" t="n">
        <v>0</v>
      </c>
      <c r="R365" s="2" t="inlineStr"/>
    </row>
    <row r="366" ht="15" customHeight="1">
      <c r="A366" t="inlineStr">
        <is>
          <t>A 41368-2023</t>
        </is>
      </c>
      <c r="B366" s="1" t="n">
        <v>45174</v>
      </c>
      <c r="C366" s="1" t="n">
        <v>46166</v>
      </c>
      <c r="D366" t="inlineStr">
        <is>
          <t>DALARNAS LÄN</t>
        </is>
      </c>
      <c r="E366" t="inlineStr">
        <is>
          <t>GAGNEF</t>
        </is>
      </c>
      <c r="G366" t="n">
        <v>0.2</v>
      </c>
      <c r="H366" t="n">
        <v>0</v>
      </c>
      <c r="I366" t="n">
        <v>0</v>
      </c>
      <c r="J366" t="n">
        <v>0</v>
      </c>
      <c r="K366" t="n">
        <v>0</v>
      </c>
      <c r="L366" t="n">
        <v>0</v>
      </c>
      <c r="M366" t="n">
        <v>0</v>
      </c>
      <c r="N366" t="n">
        <v>0</v>
      </c>
      <c r="O366" t="n">
        <v>0</v>
      </c>
      <c r="P366" t="n">
        <v>0</v>
      </c>
      <c r="Q366" t="n">
        <v>0</v>
      </c>
      <c r="R366" s="2" t="inlineStr"/>
    </row>
    <row r="367" ht="15" customHeight="1">
      <c r="A367" t="inlineStr">
        <is>
          <t>A 23654-2023</t>
        </is>
      </c>
      <c r="B367" s="1" t="n">
        <v>45077</v>
      </c>
      <c r="C367" s="1" t="n">
        <v>46166</v>
      </c>
      <c r="D367" t="inlineStr">
        <is>
          <t>DALARNAS LÄN</t>
        </is>
      </c>
      <c r="E367" t="inlineStr">
        <is>
          <t>GAGNEF</t>
        </is>
      </c>
      <c r="G367" t="n">
        <v>3</v>
      </c>
      <c r="H367" t="n">
        <v>0</v>
      </c>
      <c r="I367" t="n">
        <v>0</v>
      </c>
      <c r="J367" t="n">
        <v>0</v>
      </c>
      <c r="K367" t="n">
        <v>0</v>
      </c>
      <c r="L367" t="n">
        <v>0</v>
      </c>
      <c r="M367" t="n">
        <v>0</v>
      </c>
      <c r="N367" t="n">
        <v>0</v>
      </c>
      <c r="O367" t="n">
        <v>0</v>
      </c>
      <c r="P367" t="n">
        <v>0</v>
      </c>
      <c r="Q367" t="n">
        <v>0</v>
      </c>
      <c r="R367" s="2" t="inlineStr"/>
    </row>
    <row r="368" ht="15" customHeight="1">
      <c r="A368" t="inlineStr">
        <is>
          <t>A 5294-2025</t>
        </is>
      </c>
      <c r="B368" s="1" t="n">
        <v>45692.44940972222</v>
      </c>
      <c r="C368" s="1" t="n">
        <v>46166</v>
      </c>
      <c r="D368" t="inlineStr">
        <is>
          <t>DALARNAS LÄN</t>
        </is>
      </c>
      <c r="E368" t="inlineStr">
        <is>
          <t>GAGNEF</t>
        </is>
      </c>
      <c r="G368" t="n">
        <v>6.2</v>
      </c>
      <c r="H368" t="n">
        <v>0</v>
      </c>
      <c r="I368" t="n">
        <v>0</v>
      </c>
      <c r="J368" t="n">
        <v>0</v>
      </c>
      <c r="K368" t="n">
        <v>0</v>
      </c>
      <c r="L368" t="n">
        <v>0</v>
      </c>
      <c r="M368" t="n">
        <v>0</v>
      </c>
      <c r="N368" t="n">
        <v>0</v>
      </c>
      <c r="O368" t="n">
        <v>0</v>
      </c>
      <c r="P368" t="n">
        <v>0</v>
      </c>
      <c r="Q368" t="n">
        <v>0</v>
      </c>
      <c r="R368" s="2" t="inlineStr"/>
    </row>
    <row r="369" ht="15" customHeight="1">
      <c r="A369" t="inlineStr">
        <is>
          <t>A 28559-2024</t>
        </is>
      </c>
      <c r="B369" s="1" t="n">
        <v>45478.38052083334</v>
      </c>
      <c r="C369" s="1" t="n">
        <v>46166</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15285-2025</t>
        </is>
      </c>
      <c r="B370" s="1" t="n">
        <v>45744.9047337963</v>
      </c>
      <c r="C370" s="1" t="n">
        <v>46166</v>
      </c>
      <c r="D370" t="inlineStr">
        <is>
          <t>DALARNAS LÄN</t>
        </is>
      </c>
      <c r="E370" t="inlineStr">
        <is>
          <t>GAGNEF</t>
        </is>
      </c>
      <c r="G370" t="n">
        <v>1.1</v>
      </c>
      <c r="H370" t="n">
        <v>0</v>
      </c>
      <c r="I370" t="n">
        <v>0</v>
      </c>
      <c r="J370" t="n">
        <v>0</v>
      </c>
      <c r="K370" t="n">
        <v>0</v>
      </c>
      <c r="L370" t="n">
        <v>0</v>
      </c>
      <c r="M370" t="n">
        <v>0</v>
      </c>
      <c r="N370" t="n">
        <v>0</v>
      </c>
      <c r="O370" t="n">
        <v>0</v>
      </c>
      <c r="P370" t="n">
        <v>0</v>
      </c>
      <c r="Q370" t="n">
        <v>0</v>
      </c>
      <c r="R370" s="2" t="inlineStr"/>
    </row>
    <row r="371" ht="15" customHeight="1">
      <c r="A371" t="inlineStr">
        <is>
          <t>A 48645-2021</t>
        </is>
      </c>
      <c r="B371" s="1" t="n">
        <v>44452.52619212963</v>
      </c>
      <c r="C371" s="1" t="n">
        <v>46166</v>
      </c>
      <c r="D371" t="inlineStr">
        <is>
          <t>DALARNAS LÄN</t>
        </is>
      </c>
      <c r="E371" t="inlineStr">
        <is>
          <t>GAGNEF</t>
        </is>
      </c>
      <c r="G371" t="n">
        <v>1.3</v>
      </c>
      <c r="H371" t="n">
        <v>0</v>
      </c>
      <c r="I371" t="n">
        <v>0</v>
      </c>
      <c r="J371" t="n">
        <v>0</v>
      </c>
      <c r="K371" t="n">
        <v>0</v>
      </c>
      <c r="L371" t="n">
        <v>0</v>
      </c>
      <c r="M371" t="n">
        <v>0</v>
      </c>
      <c r="N371" t="n">
        <v>0</v>
      </c>
      <c r="O371" t="n">
        <v>0</v>
      </c>
      <c r="P371" t="n">
        <v>0</v>
      </c>
      <c r="Q371" t="n">
        <v>0</v>
      </c>
      <c r="R371" s="2" t="inlineStr"/>
    </row>
    <row r="372" ht="15" customHeight="1">
      <c r="A372" t="inlineStr">
        <is>
          <t>A 19197-2023</t>
        </is>
      </c>
      <c r="B372" s="1" t="n">
        <v>45048</v>
      </c>
      <c r="C372" s="1" t="n">
        <v>46166</v>
      </c>
      <c r="D372" t="inlineStr">
        <is>
          <t>DALARNAS LÄN</t>
        </is>
      </c>
      <c r="E372" t="inlineStr">
        <is>
          <t>GAGNEF</t>
        </is>
      </c>
      <c r="G372" t="n">
        <v>0.5</v>
      </c>
      <c r="H372" t="n">
        <v>0</v>
      </c>
      <c r="I372" t="n">
        <v>0</v>
      </c>
      <c r="J372" t="n">
        <v>0</v>
      </c>
      <c r="K372" t="n">
        <v>0</v>
      </c>
      <c r="L372" t="n">
        <v>0</v>
      </c>
      <c r="M372" t="n">
        <v>0</v>
      </c>
      <c r="N372" t="n">
        <v>0</v>
      </c>
      <c r="O372" t="n">
        <v>0</v>
      </c>
      <c r="P372" t="n">
        <v>0</v>
      </c>
      <c r="Q372" t="n">
        <v>0</v>
      </c>
      <c r="R372" s="2" t="inlineStr"/>
    </row>
    <row r="373" ht="15" customHeight="1">
      <c r="A373" t="inlineStr">
        <is>
          <t>A 15684-2024</t>
        </is>
      </c>
      <c r="B373" s="1" t="n">
        <v>45404.43857638889</v>
      </c>
      <c r="C373" s="1" t="n">
        <v>46166</v>
      </c>
      <c r="D373" t="inlineStr">
        <is>
          <t>DALARNAS LÄN</t>
        </is>
      </c>
      <c r="E373" t="inlineStr">
        <is>
          <t>GAGNEF</t>
        </is>
      </c>
      <c r="G373" t="n">
        <v>1.8</v>
      </c>
      <c r="H373" t="n">
        <v>0</v>
      </c>
      <c r="I373" t="n">
        <v>0</v>
      </c>
      <c r="J373" t="n">
        <v>0</v>
      </c>
      <c r="K373" t="n">
        <v>0</v>
      </c>
      <c r="L373" t="n">
        <v>0</v>
      </c>
      <c r="M373" t="n">
        <v>0</v>
      </c>
      <c r="N373" t="n">
        <v>0</v>
      </c>
      <c r="O373" t="n">
        <v>0</v>
      </c>
      <c r="P373" t="n">
        <v>0</v>
      </c>
      <c r="Q373" t="n">
        <v>0</v>
      </c>
      <c r="R373" s="2" t="inlineStr"/>
    </row>
    <row r="374" ht="15" customHeight="1">
      <c r="A374" t="inlineStr">
        <is>
          <t>A 43915-2024</t>
        </is>
      </c>
      <c r="B374" s="1" t="n">
        <v>45572.43608796296</v>
      </c>
      <c r="C374" s="1" t="n">
        <v>46166</v>
      </c>
      <c r="D374" t="inlineStr">
        <is>
          <t>DALARNAS LÄN</t>
        </is>
      </c>
      <c r="E374" t="inlineStr">
        <is>
          <t>GAGNEF</t>
        </is>
      </c>
      <c r="G374" t="n">
        <v>3.5</v>
      </c>
      <c r="H374" t="n">
        <v>0</v>
      </c>
      <c r="I374" t="n">
        <v>0</v>
      </c>
      <c r="J374" t="n">
        <v>0</v>
      </c>
      <c r="K374" t="n">
        <v>0</v>
      </c>
      <c r="L374" t="n">
        <v>0</v>
      </c>
      <c r="M374" t="n">
        <v>0</v>
      </c>
      <c r="N374" t="n">
        <v>0</v>
      </c>
      <c r="O374" t="n">
        <v>0</v>
      </c>
      <c r="P374" t="n">
        <v>0</v>
      </c>
      <c r="Q374" t="n">
        <v>0</v>
      </c>
      <c r="R374" s="2" t="inlineStr"/>
    </row>
    <row r="375" ht="15" customHeight="1">
      <c r="A375" t="inlineStr">
        <is>
          <t>A 9616-2024</t>
        </is>
      </c>
      <c r="B375" s="1" t="n">
        <v>45361</v>
      </c>
      <c r="C375" s="1" t="n">
        <v>46166</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43911-2024</t>
        </is>
      </c>
      <c r="B376" s="1" t="n">
        <v>45572.43356481481</v>
      </c>
      <c r="C376" s="1" t="n">
        <v>46166</v>
      </c>
      <c r="D376" t="inlineStr">
        <is>
          <t>DALARNAS LÄN</t>
        </is>
      </c>
      <c r="E376" t="inlineStr">
        <is>
          <t>GAGNEF</t>
        </is>
      </c>
      <c r="G376" t="n">
        <v>1</v>
      </c>
      <c r="H376" t="n">
        <v>0</v>
      </c>
      <c r="I376" t="n">
        <v>0</v>
      </c>
      <c r="J376" t="n">
        <v>0</v>
      </c>
      <c r="K376" t="n">
        <v>0</v>
      </c>
      <c r="L376" t="n">
        <v>0</v>
      </c>
      <c r="M376" t="n">
        <v>0</v>
      </c>
      <c r="N376" t="n">
        <v>0</v>
      </c>
      <c r="O376" t="n">
        <v>0</v>
      </c>
      <c r="P376" t="n">
        <v>0</v>
      </c>
      <c r="Q376" t="n">
        <v>0</v>
      </c>
      <c r="R376" s="2" t="inlineStr"/>
    </row>
    <row r="377" ht="15" customHeight="1">
      <c r="A377" t="inlineStr">
        <is>
          <t>A 43913-2024</t>
        </is>
      </c>
      <c r="B377" s="1" t="n">
        <v>45572</v>
      </c>
      <c r="C377" s="1" t="n">
        <v>46166</v>
      </c>
      <c r="D377" t="inlineStr">
        <is>
          <t>DALARNAS LÄN</t>
        </is>
      </c>
      <c r="E377" t="inlineStr">
        <is>
          <t>GAGNEF</t>
        </is>
      </c>
      <c r="G377" t="n">
        <v>1.5</v>
      </c>
      <c r="H377" t="n">
        <v>0</v>
      </c>
      <c r="I377" t="n">
        <v>0</v>
      </c>
      <c r="J377" t="n">
        <v>0</v>
      </c>
      <c r="K377" t="n">
        <v>0</v>
      </c>
      <c r="L377" t="n">
        <v>0</v>
      </c>
      <c r="M377" t="n">
        <v>0</v>
      </c>
      <c r="N377" t="n">
        <v>0</v>
      </c>
      <c r="O377" t="n">
        <v>0</v>
      </c>
      <c r="P377" t="n">
        <v>0</v>
      </c>
      <c r="Q377" t="n">
        <v>0</v>
      </c>
      <c r="R377" s="2" t="inlineStr"/>
    </row>
    <row r="378" ht="15" customHeight="1">
      <c r="A378" t="inlineStr">
        <is>
          <t>A 42596-2021</t>
        </is>
      </c>
      <c r="B378" s="1" t="n">
        <v>44428.37861111111</v>
      </c>
      <c r="C378" s="1" t="n">
        <v>46166</v>
      </c>
      <c r="D378" t="inlineStr">
        <is>
          <t>DALARNAS LÄN</t>
        </is>
      </c>
      <c r="E378" t="inlineStr">
        <is>
          <t>GAGNEF</t>
        </is>
      </c>
      <c r="G378" t="n">
        <v>1.7</v>
      </c>
      <c r="H378" t="n">
        <v>0</v>
      </c>
      <c r="I378" t="n">
        <v>0</v>
      </c>
      <c r="J378" t="n">
        <v>0</v>
      </c>
      <c r="K378" t="n">
        <v>0</v>
      </c>
      <c r="L378" t="n">
        <v>0</v>
      </c>
      <c r="M378" t="n">
        <v>0</v>
      </c>
      <c r="N378" t="n">
        <v>0</v>
      </c>
      <c r="O378" t="n">
        <v>0</v>
      </c>
      <c r="P378" t="n">
        <v>0</v>
      </c>
      <c r="Q378" t="n">
        <v>0</v>
      </c>
      <c r="R378" s="2" t="inlineStr"/>
    </row>
    <row r="379" ht="15" customHeight="1">
      <c r="A379" t="inlineStr">
        <is>
          <t>A 19344-2025</t>
        </is>
      </c>
      <c r="B379" s="1" t="n">
        <v>45769.59975694444</v>
      </c>
      <c r="C379" s="1" t="n">
        <v>46166</v>
      </c>
      <c r="D379" t="inlineStr">
        <is>
          <t>DALARNAS LÄN</t>
        </is>
      </c>
      <c r="E379" t="inlineStr">
        <is>
          <t>GAGNEF</t>
        </is>
      </c>
      <c r="G379" t="n">
        <v>3.4</v>
      </c>
      <c r="H379" t="n">
        <v>0</v>
      </c>
      <c r="I379" t="n">
        <v>0</v>
      </c>
      <c r="J379" t="n">
        <v>0</v>
      </c>
      <c r="K379" t="n">
        <v>0</v>
      </c>
      <c r="L379" t="n">
        <v>0</v>
      </c>
      <c r="M379" t="n">
        <v>0</v>
      </c>
      <c r="N379" t="n">
        <v>0</v>
      </c>
      <c r="O379" t="n">
        <v>0</v>
      </c>
      <c r="P379" t="n">
        <v>0</v>
      </c>
      <c r="Q379" t="n">
        <v>0</v>
      </c>
      <c r="R379" s="2" t="inlineStr"/>
    </row>
    <row r="380" ht="15" customHeight="1">
      <c r="A380" t="inlineStr">
        <is>
          <t>A 8867-2025</t>
        </is>
      </c>
      <c r="B380" s="1" t="n">
        <v>45713.36719907408</v>
      </c>
      <c r="C380" s="1" t="n">
        <v>46166</v>
      </c>
      <c r="D380" t="inlineStr">
        <is>
          <t>DALARNAS LÄN</t>
        </is>
      </c>
      <c r="E380" t="inlineStr">
        <is>
          <t>GAGNEF</t>
        </is>
      </c>
      <c r="G380" t="n">
        <v>0.8</v>
      </c>
      <c r="H380" t="n">
        <v>0</v>
      </c>
      <c r="I380" t="n">
        <v>0</v>
      </c>
      <c r="J380" t="n">
        <v>0</v>
      </c>
      <c r="K380" t="n">
        <v>0</v>
      </c>
      <c r="L380" t="n">
        <v>0</v>
      </c>
      <c r="M380" t="n">
        <v>0</v>
      </c>
      <c r="N380" t="n">
        <v>0</v>
      </c>
      <c r="O380" t="n">
        <v>0</v>
      </c>
      <c r="P380" t="n">
        <v>0</v>
      </c>
      <c r="Q380" t="n">
        <v>0</v>
      </c>
      <c r="R380" s="2" t="inlineStr"/>
    </row>
    <row r="381" ht="15" customHeight="1">
      <c r="A381" t="inlineStr">
        <is>
          <t>A 42704-2024</t>
        </is>
      </c>
      <c r="B381" s="1" t="n">
        <v>45566.43722222222</v>
      </c>
      <c r="C381" s="1" t="n">
        <v>46166</v>
      </c>
      <c r="D381" t="inlineStr">
        <is>
          <t>DALARNAS LÄN</t>
        </is>
      </c>
      <c r="E381" t="inlineStr">
        <is>
          <t>GAGNEF</t>
        </is>
      </c>
      <c r="G381" t="n">
        <v>3.5</v>
      </c>
      <c r="H381" t="n">
        <v>0</v>
      </c>
      <c r="I381" t="n">
        <v>0</v>
      </c>
      <c r="J381" t="n">
        <v>0</v>
      </c>
      <c r="K381" t="n">
        <v>0</v>
      </c>
      <c r="L381" t="n">
        <v>0</v>
      </c>
      <c r="M381" t="n">
        <v>0</v>
      </c>
      <c r="N381" t="n">
        <v>0</v>
      </c>
      <c r="O381" t="n">
        <v>0</v>
      </c>
      <c r="P381" t="n">
        <v>0</v>
      </c>
      <c r="Q381" t="n">
        <v>0</v>
      </c>
      <c r="R381" s="2" t="inlineStr"/>
    </row>
    <row r="382" ht="15" customHeight="1">
      <c r="A382" t="inlineStr">
        <is>
          <t>A 42713-2024</t>
        </is>
      </c>
      <c r="B382" s="1" t="n">
        <v>45566</v>
      </c>
      <c r="C382" s="1" t="n">
        <v>46166</v>
      </c>
      <c r="D382" t="inlineStr">
        <is>
          <t>DALARNAS LÄN</t>
        </is>
      </c>
      <c r="E382" t="inlineStr">
        <is>
          <t>GAGNEF</t>
        </is>
      </c>
      <c r="G382" t="n">
        <v>1.5</v>
      </c>
      <c r="H382" t="n">
        <v>0</v>
      </c>
      <c r="I382" t="n">
        <v>0</v>
      </c>
      <c r="J382" t="n">
        <v>0</v>
      </c>
      <c r="K382" t="n">
        <v>0</v>
      </c>
      <c r="L382" t="n">
        <v>0</v>
      </c>
      <c r="M382" t="n">
        <v>0</v>
      </c>
      <c r="N382" t="n">
        <v>0</v>
      </c>
      <c r="O382" t="n">
        <v>0</v>
      </c>
      <c r="P382" t="n">
        <v>0</v>
      </c>
      <c r="Q382" t="n">
        <v>0</v>
      </c>
      <c r="R382" s="2" t="inlineStr"/>
    </row>
    <row r="383" ht="15" customHeight="1">
      <c r="A383" t="inlineStr">
        <is>
          <t>A 3642-2025</t>
        </is>
      </c>
      <c r="B383" s="1" t="n">
        <v>45681.39009259259</v>
      </c>
      <c r="C383" s="1" t="n">
        <v>46166</v>
      </c>
      <c r="D383" t="inlineStr">
        <is>
          <t>DALARNAS LÄN</t>
        </is>
      </c>
      <c r="E383" t="inlineStr">
        <is>
          <t>GAGNEF</t>
        </is>
      </c>
      <c r="G383" t="n">
        <v>4.7</v>
      </c>
      <c r="H383" t="n">
        <v>0</v>
      </c>
      <c r="I383" t="n">
        <v>0</v>
      </c>
      <c r="J383" t="n">
        <v>0</v>
      </c>
      <c r="K383" t="n">
        <v>0</v>
      </c>
      <c r="L383" t="n">
        <v>0</v>
      </c>
      <c r="M383" t="n">
        <v>0</v>
      </c>
      <c r="N383" t="n">
        <v>0</v>
      </c>
      <c r="O383" t="n">
        <v>0</v>
      </c>
      <c r="P383" t="n">
        <v>0</v>
      </c>
      <c r="Q383" t="n">
        <v>0</v>
      </c>
      <c r="R383" s="2" t="inlineStr"/>
    </row>
    <row r="384" ht="15" customHeight="1">
      <c r="A384" t="inlineStr">
        <is>
          <t>A 20771-2025</t>
        </is>
      </c>
      <c r="B384" s="1" t="n">
        <v>45776.58692129629</v>
      </c>
      <c r="C384" s="1" t="n">
        <v>46166</v>
      </c>
      <c r="D384" t="inlineStr">
        <is>
          <t>DALARNAS LÄN</t>
        </is>
      </c>
      <c r="E384" t="inlineStr">
        <is>
          <t>GAGNEF</t>
        </is>
      </c>
      <c r="G384" t="n">
        <v>10.5</v>
      </c>
      <c r="H384" t="n">
        <v>0</v>
      </c>
      <c r="I384" t="n">
        <v>0</v>
      </c>
      <c r="J384" t="n">
        <v>0</v>
      </c>
      <c r="K384" t="n">
        <v>0</v>
      </c>
      <c r="L384" t="n">
        <v>0</v>
      </c>
      <c r="M384" t="n">
        <v>0</v>
      </c>
      <c r="N384" t="n">
        <v>0</v>
      </c>
      <c r="O384" t="n">
        <v>0</v>
      </c>
      <c r="P384" t="n">
        <v>0</v>
      </c>
      <c r="Q384" t="n">
        <v>0</v>
      </c>
      <c r="R384" s="2" t="inlineStr"/>
    </row>
    <row r="385" ht="15" customHeight="1">
      <c r="A385" t="inlineStr">
        <is>
          <t>A 24862-2024</t>
        </is>
      </c>
      <c r="B385" s="1" t="n">
        <v>45461.48384259259</v>
      </c>
      <c r="C385" s="1" t="n">
        <v>46166</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27814-2024</t>
        </is>
      </c>
      <c r="B386" s="1" t="n">
        <v>45475.5928587963</v>
      </c>
      <c r="C386" s="1" t="n">
        <v>46166</v>
      </c>
      <c r="D386" t="inlineStr">
        <is>
          <t>DALARNAS LÄN</t>
        </is>
      </c>
      <c r="E386" t="inlineStr">
        <is>
          <t>GAGNEF</t>
        </is>
      </c>
      <c r="G386" t="n">
        <v>3.8</v>
      </c>
      <c r="H386" t="n">
        <v>0</v>
      </c>
      <c r="I386" t="n">
        <v>0</v>
      </c>
      <c r="J386" t="n">
        <v>0</v>
      </c>
      <c r="K386" t="n">
        <v>0</v>
      </c>
      <c r="L386" t="n">
        <v>0</v>
      </c>
      <c r="M386" t="n">
        <v>0</v>
      </c>
      <c r="N386" t="n">
        <v>0</v>
      </c>
      <c r="O386" t="n">
        <v>0</v>
      </c>
      <c r="P386" t="n">
        <v>0</v>
      </c>
      <c r="Q386" t="n">
        <v>0</v>
      </c>
      <c r="R386" s="2" t="inlineStr"/>
    </row>
    <row r="387" ht="15" customHeight="1">
      <c r="A387" t="inlineStr">
        <is>
          <t>A 8491-2025</t>
        </is>
      </c>
      <c r="B387" s="1" t="n">
        <v>45709.50834490741</v>
      </c>
      <c r="C387" s="1" t="n">
        <v>46166</v>
      </c>
      <c r="D387" t="inlineStr">
        <is>
          <t>DALARNAS LÄN</t>
        </is>
      </c>
      <c r="E387" t="inlineStr">
        <is>
          <t>GAGNEF</t>
        </is>
      </c>
      <c r="G387" t="n">
        <v>3.2</v>
      </c>
      <c r="H387" t="n">
        <v>0</v>
      </c>
      <c r="I387" t="n">
        <v>0</v>
      </c>
      <c r="J387" t="n">
        <v>0</v>
      </c>
      <c r="K387" t="n">
        <v>0</v>
      </c>
      <c r="L387" t="n">
        <v>0</v>
      </c>
      <c r="M387" t="n">
        <v>0</v>
      </c>
      <c r="N387" t="n">
        <v>0</v>
      </c>
      <c r="O387" t="n">
        <v>0</v>
      </c>
      <c r="P387" t="n">
        <v>0</v>
      </c>
      <c r="Q387" t="n">
        <v>0</v>
      </c>
      <c r="R387" s="2" t="inlineStr"/>
    </row>
    <row r="388" ht="15" customHeight="1">
      <c r="A388" t="inlineStr">
        <is>
          <t>A 11349-2023</t>
        </is>
      </c>
      <c r="B388" s="1" t="n">
        <v>44993</v>
      </c>
      <c r="C388" s="1" t="n">
        <v>46166</v>
      </c>
      <c r="D388" t="inlineStr">
        <is>
          <t>DALARNAS LÄN</t>
        </is>
      </c>
      <c r="E388" t="inlineStr">
        <is>
          <t>GAGNEF</t>
        </is>
      </c>
      <c r="G388" t="n">
        <v>5.8</v>
      </c>
      <c r="H388" t="n">
        <v>0</v>
      </c>
      <c r="I388" t="n">
        <v>0</v>
      </c>
      <c r="J388" t="n">
        <v>0</v>
      </c>
      <c r="K388" t="n">
        <v>0</v>
      </c>
      <c r="L388" t="n">
        <v>0</v>
      </c>
      <c r="M388" t="n">
        <v>0</v>
      </c>
      <c r="N388" t="n">
        <v>0</v>
      </c>
      <c r="O388" t="n">
        <v>0</v>
      </c>
      <c r="P388" t="n">
        <v>0</v>
      </c>
      <c r="Q388" t="n">
        <v>0</v>
      </c>
      <c r="R388" s="2" t="inlineStr"/>
    </row>
    <row r="389" ht="15" customHeight="1">
      <c r="A389" t="inlineStr">
        <is>
          <t>A 30635-2024</t>
        </is>
      </c>
      <c r="B389" s="1" t="n">
        <v>45495.54474537037</v>
      </c>
      <c r="C389" s="1" t="n">
        <v>46166</v>
      </c>
      <c r="D389" t="inlineStr">
        <is>
          <t>DALARNAS LÄN</t>
        </is>
      </c>
      <c r="E389" t="inlineStr">
        <is>
          <t>GAGNEF</t>
        </is>
      </c>
      <c r="G389" t="n">
        <v>1.9</v>
      </c>
      <c r="H389" t="n">
        <v>0</v>
      </c>
      <c r="I389" t="n">
        <v>0</v>
      </c>
      <c r="J389" t="n">
        <v>0</v>
      </c>
      <c r="K389" t="n">
        <v>0</v>
      </c>
      <c r="L389" t="n">
        <v>0</v>
      </c>
      <c r="M389" t="n">
        <v>0</v>
      </c>
      <c r="N389" t="n">
        <v>0</v>
      </c>
      <c r="O389" t="n">
        <v>0</v>
      </c>
      <c r="P389" t="n">
        <v>0</v>
      </c>
      <c r="Q389" t="n">
        <v>0</v>
      </c>
      <c r="R389" s="2" t="inlineStr"/>
    </row>
    <row r="390" ht="15" customHeight="1">
      <c r="A390" t="inlineStr">
        <is>
          <t>A 27668-2023</t>
        </is>
      </c>
      <c r="B390" s="1" t="n">
        <v>45097</v>
      </c>
      <c r="C390" s="1" t="n">
        <v>46166</v>
      </c>
      <c r="D390" t="inlineStr">
        <is>
          <t>DALARNAS LÄN</t>
        </is>
      </c>
      <c r="E390" t="inlineStr">
        <is>
          <t>GAGNEF</t>
        </is>
      </c>
      <c r="G390" t="n">
        <v>1.4</v>
      </c>
      <c r="H390" t="n">
        <v>0</v>
      </c>
      <c r="I390" t="n">
        <v>0</v>
      </c>
      <c r="J390" t="n">
        <v>0</v>
      </c>
      <c r="K390" t="n">
        <v>0</v>
      </c>
      <c r="L390" t="n">
        <v>0</v>
      </c>
      <c r="M390" t="n">
        <v>0</v>
      </c>
      <c r="N390" t="n">
        <v>0</v>
      </c>
      <c r="O390" t="n">
        <v>0</v>
      </c>
      <c r="P390" t="n">
        <v>0</v>
      </c>
      <c r="Q390" t="n">
        <v>0</v>
      </c>
      <c r="R390" s="2" t="inlineStr"/>
    </row>
    <row r="391" ht="15" customHeight="1">
      <c r="A391" t="inlineStr">
        <is>
          <t>A 42607-2024</t>
        </is>
      </c>
      <c r="B391" s="1" t="n">
        <v>45565.76509259259</v>
      </c>
      <c r="C391" s="1" t="n">
        <v>46166</v>
      </c>
      <c r="D391" t="inlineStr">
        <is>
          <t>DALARNAS LÄN</t>
        </is>
      </c>
      <c r="E391" t="inlineStr">
        <is>
          <t>GAGNEF</t>
        </is>
      </c>
      <c r="G391" t="n">
        <v>2.6</v>
      </c>
      <c r="H391" t="n">
        <v>0</v>
      </c>
      <c r="I391" t="n">
        <v>0</v>
      </c>
      <c r="J391" t="n">
        <v>0</v>
      </c>
      <c r="K391" t="n">
        <v>0</v>
      </c>
      <c r="L391" t="n">
        <v>0</v>
      </c>
      <c r="M391" t="n">
        <v>0</v>
      </c>
      <c r="N391" t="n">
        <v>0</v>
      </c>
      <c r="O391" t="n">
        <v>0</v>
      </c>
      <c r="P391" t="n">
        <v>0</v>
      </c>
      <c r="Q391" t="n">
        <v>0</v>
      </c>
      <c r="R391" s="2" t="inlineStr"/>
    </row>
    <row r="392" ht="15" customHeight="1">
      <c r="A392" t="inlineStr">
        <is>
          <t>A 22856-2025</t>
        </is>
      </c>
      <c r="B392" s="1" t="n">
        <v>45789</v>
      </c>
      <c r="C392" s="1" t="n">
        <v>46166</v>
      </c>
      <c r="D392" t="inlineStr">
        <is>
          <t>DALARNAS LÄN</t>
        </is>
      </c>
      <c r="E392" t="inlineStr">
        <is>
          <t>GAGNEF</t>
        </is>
      </c>
      <c r="G392" t="n">
        <v>2.9</v>
      </c>
      <c r="H392" t="n">
        <v>0</v>
      </c>
      <c r="I392" t="n">
        <v>0</v>
      </c>
      <c r="J392" t="n">
        <v>0</v>
      </c>
      <c r="K392" t="n">
        <v>0</v>
      </c>
      <c r="L392" t="n">
        <v>0</v>
      </c>
      <c r="M392" t="n">
        <v>0</v>
      </c>
      <c r="N392" t="n">
        <v>0</v>
      </c>
      <c r="O392" t="n">
        <v>0</v>
      </c>
      <c r="P392" t="n">
        <v>0</v>
      </c>
      <c r="Q392" t="n">
        <v>0</v>
      </c>
      <c r="R392" s="2" t="inlineStr"/>
    </row>
    <row r="393" ht="15" customHeight="1">
      <c r="A393" t="inlineStr">
        <is>
          <t>A 22273-2025</t>
        </is>
      </c>
      <c r="B393" s="1" t="n">
        <v>45785.94997685185</v>
      </c>
      <c r="C393" s="1" t="n">
        <v>46166</v>
      </c>
      <c r="D393" t="inlineStr">
        <is>
          <t>DALARNAS LÄN</t>
        </is>
      </c>
      <c r="E393" t="inlineStr">
        <is>
          <t>GAGNEF</t>
        </is>
      </c>
      <c r="G393" t="n">
        <v>2.4</v>
      </c>
      <c r="H393" t="n">
        <v>0</v>
      </c>
      <c r="I393" t="n">
        <v>0</v>
      </c>
      <c r="J393" t="n">
        <v>0</v>
      </c>
      <c r="K393" t="n">
        <v>0</v>
      </c>
      <c r="L393" t="n">
        <v>0</v>
      </c>
      <c r="M393" t="n">
        <v>0</v>
      </c>
      <c r="N393" t="n">
        <v>0</v>
      </c>
      <c r="O393" t="n">
        <v>0</v>
      </c>
      <c r="P393" t="n">
        <v>0</v>
      </c>
      <c r="Q393" t="n">
        <v>0</v>
      </c>
      <c r="R393" s="2" t="inlineStr"/>
    </row>
    <row r="394" ht="15" customHeight="1">
      <c r="A394" t="inlineStr">
        <is>
          <t>A 23488-2024</t>
        </is>
      </c>
      <c r="B394" s="1" t="n">
        <v>45453.67690972222</v>
      </c>
      <c r="C394" s="1" t="n">
        <v>46166</v>
      </c>
      <c r="D394" t="inlineStr">
        <is>
          <t>DALARNAS LÄN</t>
        </is>
      </c>
      <c r="E394" t="inlineStr">
        <is>
          <t>GAGNEF</t>
        </is>
      </c>
      <c r="G394" t="n">
        <v>1.1</v>
      </c>
      <c r="H394" t="n">
        <v>0</v>
      </c>
      <c r="I394" t="n">
        <v>0</v>
      </c>
      <c r="J394" t="n">
        <v>0</v>
      </c>
      <c r="K394" t="n">
        <v>0</v>
      </c>
      <c r="L394" t="n">
        <v>0</v>
      </c>
      <c r="M394" t="n">
        <v>0</v>
      </c>
      <c r="N394" t="n">
        <v>0</v>
      </c>
      <c r="O394" t="n">
        <v>0</v>
      </c>
      <c r="P394" t="n">
        <v>0</v>
      </c>
      <c r="Q394" t="n">
        <v>0</v>
      </c>
      <c r="R394" s="2" t="inlineStr"/>
    </row>
    <row r="395" ht="15" customHeight="1">
      <c r="A395" t="inlineStr">
        <is>
          <t>A 5835-2025</t>
        </is>
      </c>
      <c r="B395" s="1" t="n">
        <v>45694.86667824074</v>
      </c>
      <c r="C395" s="1" t="n">
        <v>46166</v>
      </c>
      <c r="D395" t="inlineStr">
        <is>
          <t>DALARNAS LÄN</t>
        </is>
      </c>
      <c r="E395" t="inlineStr">
        <is>
          <t>GAGNEF</t>
        </is>
      </c>
      <c r="G395" t="n">
        <v>3.4</v>
      </c>
      <c r="H395" t="n">
        <v>0</v>
      </c>
      <c r="I395" t="n">
        <v>0</v>
      </c>
      <c r="J395" t="n">
        <v>0</v>
      </c>
      <c r="K395" t="n">
        <v>0</v>
      </c>
      <c r="L395" t="n">
        <v>0</v>
      </c>
      <c r="M395" t="n">
        <v>0</v>
      </c>
      <c r="N395" t="n">
        <v>0</v>
      </c>
      <c r="O395" t="n">
        <v>0</v>
      </c>
      <c r="P395" t="n">
        <v>0</v>
      </c>
      <c r="Q395" t="n">
        <v>0</v>
      </c>
      <c r="R395" s="2" t="inlineStr"/>
    </row>
    <row r="396" ht="15" customHeight="1">
      <c r="A396" t="inlineStr">
        <is>
          <t>A 23227-2025</t>
        </is>
      </c>
      <c r="B396" s="1" t="n">
        <v>45791.48747685185</v>
      </c>
      <c r="C396" s="1" t="n">
        <v>46166</v>
      </c>
      <c r="D396" t="inlineStr">
        <is>
          <t>DALARNAS LÄN</t>
        </is>
      </c>
      <c r="E396" t="inlineStr">
        <is>
          <t>GAGNEF</t>
        </is>
      </c>
      <c r="G396" t="n">
        <v>2.8</v>
      </c>
      <c r="H396" t="n">
        <v>0</v>
      </c>
      <c r="I396" t="n">
        <v>0</v>
      </c>
      <c r="J396" t="n">
        <v>0</v>
      </c>
      <c r="K396" t="n">
        <v>0</v>
      </c>
      <c r="L396" t="n">
        <v>0</v>
      </c>
      <c r="M396" t="n">
        <v>0</v>
      </c>
      <c r="N396" t="n">
        <v>0</v>
      </c>
      <c r="O396" t="n">
        <v>0</v>
      </c>
      <c r="P396" t="n">
        <v>0</v>
      </c>
      <c r="Q396" t="n">
        <v>0</v>
      </c>
      <c r="R396" s="2" t="inlineStr"/>
    </row>
    <row r="397" ht="15" customHeight="1">
      <c r="A397" t="inlineStr">
        <is>
          <t>A 23797-2025</t>
        </is>
      </c>
      <c r="B397" s="1" t="n">
        <v>45793.55232638889</v>
      </c>
      <c r="C397" s="1" t="n">
        <v>46166</v>
      </c>
      <c r="D397" t="inlineStr">
        <is>
          <t>DALARNAS LÄN</t>
        </is>
      </c>
      <c r="E397" t="inlineStr">
        <is>
          <t>GAGNEF</t>
        </is>
      </c>
      <c r="F397" t="inlineStr">
        <is>
          <t>Övriga statliga verk och myndigheter</t>
        </is>
      </c>
      <c r="G397" t="n">
        <v>2.8</v>
      </c>
      <c r="H397" t="n">
        <v>0</v>
      </c>
      <c r="I397" t="n">
        <v>0</v>
      </c>
      <c r="J397" t="n">
        <v>0</v>
      </c>
      <c r="K397" t="n">
        <v>0</v>
      </c>
      <c r="L397" t="n">
        <v>0</v>
      </c>
      <c r="M397" t="n">
        <v>0</v>
      </c>
      <c r="N397" t="n">
        <v>0</v>
      </c>
      <c r="O397" t="n">
        <v>0</v>
      </c>
      <c r="P397" t="n">
        <v>0</v>
      </c>
      <c r="Q397" t="n">
        <v>0</v>
      </c>
      <c r="R397" s="2" t="inlineStr"/>
    </row>
    <row r="398" ht="15" customHeight="1">
      <c r="A398" t="inlineStr">
        <is>
          <t>A 7598-2024</t>
        </is>
      </c>
      <c r="B398" s="1" t="n">
        <v>45348.55574074074</v>
      </c>
      <c r="C398" s="1" t="n">
        <v>46166</v>
      </c>
      <c r="D398" t="inlineStr">
        <is>
          <t>DALARNAS LÄN</t>
        </is>
      </c>
      <c r="E398" t="inlineStr">
        <is>
          <t>GAGNEF</t>
        </is>
      </c>
      <c r="G398" t="n">
        <v>2.2</v>
      </c>
      <c r="H398" t="n">
        <v>0</v>
      </c>
      <c r="I398" t="n">
        <v>0</v>
      </c>
      <c r="J398" t="n">
        <v>0</v>
      </c>
      <c r="K398" t="n">
        <v>0</v>
      </c>
      <c r="L398" t="n">
        <v>0</v>
      </c>
      <c r="M398" t="n">
        <v>0</v>
      </c>
      <c r="N398" t="n">
        <v>0</v>
      </c>
      <c r="O398" t="n">
        <v>0</v>
      </c>
      <c r="P398" t="n">
        <v>0</v>
      </c>
      <c r="Q398" t="n">
        <v>0</v>
      </c>
      <c r="R398" s="2" t="inlineStr"/>
    </row>
    <row r="399" ht="15" customHeight="1">
      <c r="A399" t="inlineStr">
        <is>
          <t>A 61499-2024</t>
        </is>
      </c>
      <c r="B399" s="1" t="n">
        <v>45646.55732638889</v>
      </c>
      <c r="C399" s="1" t="n">
        <v>46166</v>
      </c>
      <c r="D399" t="inlineStr">
        <is>
          <t>DALARNAS LÄN</t>
        </is>
      </c>
      <c r="E399" t="inlineStr">
        <is>
          <t>GAGNEF</t>
        </is>
      </c>
      <c r="G399" t="n">
        <v>3</v>
      </c>
      <c r="H399" t="n">
        <v>0</v>
      </c>
      <c r="I399" t="n">
        <v>0</v>
      </c>
      <c r="J399" t="n">
        <v>0</v>
      </c>
      <c r="K399" t="n">
        <v>0</v>
      </c>
      <c r="L399" t="n">
        <v>0</v>
      </c>
      <c r="M399" t="n">
        <v>0</v>
      </c>
      <c r="N399" t="n">
        <v>0</v>
      </c>
      <c r="O399" t="n">
        <v>0</v>
      </c>
      <c r="P399" t="n">
        <v>0</v>
      </c>
      <c r="Q399" t="n">
        <v>0</v>
      </c>
      <c r="R399" s="2" t="inlineStr"/>
    </row>
    <row r="400" ht="15" customHeight="1">
      <c r="A400" t="inlineStr">
        <is>
          <t>A 26369-2025</t>
        </is>
      </c>
      <c r="B400" s="1" t="n">
        <v>45806.39133101852</v>
      </c>
      <c r="C400" s="1" t="n">
        <v>46166</v>
      </c>
      <c r="D400" t="inlineStr">
        <is>
          <t>DALARNAS LÄN</t>
        </is>
      </c>
      <c r="E400" t="inlineStr">
        <is>
          <t>GAGNEF</t>
        </is>
      </c>
      <c r="G400" t="n">
        <v>12.9</v>
      </c>
      <c r="H400" t="n">
        <v>0</v>
      </c>
      <c r="I400" t="n">
        <v>0</v>
      </c>
      <c r="J400" t="n">
        <v>0</v>
      </c>
      <c r="K400" t="n">
        <v>0</v>
      </c>
      <c r="L400" t="n">
        <v>0</v>
      </c>
      <c r="M400" t="n">
        <v>0</v>
      </c>
      <c r="N400" t="n">
        <v>0</v>
      </c>
      <c r="O400" t="n">
        <v>0</v>
      </c>
      <c r="P400" t="n">
        <v>0</v>
      </c>
      <c r="Q400" t="n">
        <v>0</v>
      </c>
      <c r="R400" s="2" t="inlineStr"/>
    </row>
    <row r="401" ht="15" customHeight="1">
      <c r="A401" t="inlineStr">
        <is>
          <t>A 27387-2025</t>
        </is>
      </c>
      <c r="B401" s="1" t="n">
        <v>45812</v>
      </c>
      <c r="C401" s="1" t="n">
        <v>46166</v>
      </c>
      <c r="D401" t="inlineStr">
        <is>
          <t>DALARNAS LÄN</t>
        </is>
      </c>
      <c r="E401" t="inlineStr">
        <is>
          <t>GAGNEF</t>
        </is>
      </c>
      <c r="G401" t="n">
        <v>4.4</v>
      </c>
      <c r="H401" t="n">
        <v>0</v>
      </c>
      <c r="I401" t="n">
        <v>0</v>
      </c>
      <c r="J401" t="n">
        <v>0</v>
      </c>
      <c r="K401" t="n">
        <v>0</v>
      </c>
      <c r="L401" t="n">
        <v>0</v>
      </c>
      <c r="M401" t="n">
        <v>0</v>
      </c>
      <c r="N401" t="n">
        <v>0</v>
      </c>
      <c r="O401" t="n">
        <v>0</v>
      </c>
      <c r="P401" t="n">
        <v>0</v>
      </c>
      <c r="Q401" t="n">
        <v>0</v>
      </c>
      <c r="R401" s="2" t="inlineStr"/>
    </row>
    <row r="402" ht="15" customHeight="1">
      <c r="A402" t="inlineStr">
        <is>
          <t>A 13169-2025</t>
        </is>
      </c>
      <c r="B402" s="1" t="n">
        <v>45735.36532407408</v>
      </c>
      <c r="C402" s="1" t="n">
        <v>46166</v>
      </c>
      <c r="D402" t="inlineStr">
        <is>
          <t>DALARNAS LÄN</t>
        </is>
      </c>
      <c r="E402" t="inlineStr">
        <is>
          <t>GAGNEF</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27889-2025</t>
        </is>
      </c>
      <c r="B403" s="1" t="n">
        <v>45817</v>
      </c>
      <c r="C403" s="1" t="n">
        <v>46166</v>
      </c>
      <c r="D403" t="inlineStr">
        <is>
          <t>DALARNAS LÄN</t>
        </is>
      </c>
      <c r="E403" t="inlineStr">
        <is>
          <t>GAGNEF</t>
        </is>
      </c>
      <c r="G403" t="n">
        <v>3.2</v>
      </c>
      <c r="H403" t="n">
        <v>0</v>
      </c>
      <c r="I403" t="n">
        <v>0</v>
      </c>
      <c r="J403" t="n">
        <v>0</v>
      </c>
      <c r="K403" t="n">
        <v>0</v>
      </c>
      <c r="L403" t="n">
        <v>0</v>
      </c>
      <c r="M403" t="n">
        <v>0</v>
      </c>
      <c r="N403" t="n">
        <v>0</v>
      </c>
      <c r="O403" t="n">
        <v>0</v>
      </c>
      <c r="P403" t="n">
        <v>0</v>
      </c>
      <c r="Q403" t="n">
        <v>0</v>
      </c>
      <c r="R403" s="2" t="inlineStr"/>
    </row>
    <row r="404" ht="15" customHeight="1">
      <c r="A404" t="inlineStr">
        <is>
          <t>A 29848-2025</t>
        </is>
      </c>
      <c r="B404" s="1" t="n">
        <v>45826</v>
      </c>
      <c r="C404" s="1" t="n">
        <v>46166</v>
      </c>
      <c r="D404" t="inlineStr">
        <is>
          <t>DALARNAS LÄN</t>
        </is>
      </c>
      <c r="E404" t="inlineStr">
        <is>
          <t>GAGNEF</t>
        </is>
      </c>
      <c r="G404" t="n">
        <v>4.1</v>
      </c>
      <c r="H404" t="n">
        <v>0</v>
      </c>
      <c r="I404" t="n">
        <v>0</v>
      </c>
      <c r="J404" t="n">
        <v>0</v>
      </c>
      <c r="K404" t="n">
        <v>0</v>
      </c>
      <c r="L404" t="n">
        <v>0</v>
      </c>
      <c r="M404" t="n">
        <v>0</v>
      </c>
      <c r="N404" t="n">
        <v>0</v>
      </c>
      <c r="O404" t="n">
        <v>0</v>
      </c>
      <c r="P404" t="n">
        <v>0</v>
      </c>
      <c r="Q404" t="n">
        <v>0</v>
      </c>
      <c r="R404" s="2" t="inlineStr"/>
    </row>
    <row r="405" ht="15" customHeight="1">
      <c r="A405" t="inlineStr">
        <is>
          <t>A 30098-2025</t>
        </is>
      </c>
      <c r="B405" s="1" t="n">
        <v>45826.67533564815</v>
      </c>
      <c r="C405" s="1" t="n">
        <v>46166</v>
      </c>
      <c r="D405" t="inlineStr">
        <is>
          <t>DALARNAS LÄN</t>
        </is>
      </c>
      <c r="E405" t="inlineStr">
        <is>
          <t>GAGNEF</t>
        </is>
      </c>
      <c r="G405" t="n">
        <v>0.5</v>
      </c>
      <c r="H405" t="n">
        <v>0</v>
      </c>
      <c r="I405" t="n">
        <v>0</v>
      </c>
      <c r="J405" t="n">
        <v>0</v>
      </c>
      <c r="K405" t="n">
        <v>0</v>
      </c>
      <c r="L405" t="n">
        <v>0</v>
      </c>
      <c r="M405" t="n">
        <v>0</v>
      </c>
      <c r="N405" t="n">
        <v>0</v>
      </c>
      <c r="O405" t="n">
        <v>0</v>
      </c>
      <c r="P405" t="n">
        <v>0</v>
      </c>
      <c r="Q405" t="n">
        <v>0</v>
      </c>
      <c r="R405" s="2" t="inlineStr"/>
    </row>
    <row r="406" ht="15" customHeight="1">
      <c r="A406" t="inlineStr">
        <is>
          <t>A 33102-2025</t>
        </is>
      </c>
      <c r="B406" s="1" t="n">
        <v>45840</v>
      </c>
      <c r="C406" s="1" t="n">
        <v>46166</v>
      </c>
      <c r="D406" t="inlineStr">
        <is>
          <t>DALARNAS LÄN</t>
        </is>
      </c>
      <c r="E406" t="inlineStr">
        <is>
          <t>GAGNEF</t>
        </is>
      </c>
      <c r="G406" t="n">
        <v>2.1</v>
      </c>
      <c r="H406" t="n">
        <v>0</v>
      </c>
      <c r="I406" t="n">
        <v>0</v>
      </c>
      <c r="J406" t="n">
        <v>0</v>
      </c>
      <c r="K406" t="n">
        <v>0</v>
      </c>
      <c r="L406" t="n">
        <v>0</v>
      </c>
      <c r="M406" t="n">
        <v>0</v>
      </c>
      <c r="N406" t="n">
        <v>0</v>
      </c>
      <c r="O406" t="n">
        <v>0</v>
      </c>
      <c r="P406" t="n">
        <v>0</v>
      </c>
      <c r="Q406" t="n">
        <v>0</v>
      </c>
      <c r="R406" s="2" t="inlineStr"/>
    </row>
    <row r="407" ht="15" customHeight="1">
      <c r="A407" t="inlineStr">
        <is>
          <t>A 33050-2025</t>
        </is>
      </c>
      <c r="B407" s="1" t="n">
        <v>45840</v>
      </c>
      <c r="C407" s="1" t="n">
        <v>46166</v>
      </c>
      <c r="D407" t="inlineStr">
        <is>
          <t>DALARNAS LÄN</t>
        </is>
      </c>
      <c r="E407" t="inlineStr">
        <is>
          <t>GAGNEF</t>
        </is>
      </c>
      <c r="G407" t="n">
        <v>2.5</v>
      </c>
      <c r="H407" t="n">
        <v>0</v>
      </c>
      <c r="I407" t="n">
        <v>0</v>
      </c>
      <c r="J407" t="n">
        <v>0</v>
      </c>
      <c r="K407" t="n">
        <v>0</v>
      </c>
      <c r="L407" t="n">
        <v>0</v>
      </c>
      <c r="M407" t="n">
        <v>0</v>
      </c>
      <c r="N407" t="n">
        <v>0</v>
      </c>
      <c r="O407" t="n">
        <v>0</v>
      </c>
      <c r="P407" t="n">
        <v>0</v>
      </c>
      <c r="Q407" t="n">
        <v>0</v>
      </c>
      <c r="R407" s="2" t="inlineStr"/>
    </row>
    <row r="408" ht="15" customHeight="1">
      <c r="A408" t="inlineStr">
        <is>
          <t>A 34084-2025</t>
        </is>
      </c>
      <c r="B408" s="1" t="n">
        <v>45845</v>
      </c>
      <c r="C408" s="1" t="n">
        <v>46166</v>
      </c>
      <c r="D408" t="inlineStr">
        <is>
          <t>DALARNAS LÄN</t>
        </is>
      </c>
      <c r="E408" t="inlineStr">
        <is>
          <t>GAGNEF</t>
        </is>
      </c>
      <c r="G408" t="n">
        <v>1.9</v>
      </c>
      <c r="H408" t="n">
        <v>0</v>
      </c>
      <c r="I408" t="n">
        <v>0</v>
      </c>
      <c r="J408" t="n">
        <v>0</v>
      </c>
      <c r="K408" t="n">
        <v>0</v>
      </c>
      <c r="L408" t="n">
        <v>0</v>
      </c>
      <c r="M408" t="n">
        <v>0</v>
      </c>
      <c r="N408" t="n">
        <v>0</v>
      </c>
      <c r="O408" t="n">
        <v>0</v>
      </c>
      <c r="P408" t="n">
        <v>0</v>
      </c>
      <c r="Q408" t="n">
        <v>0</v>
      </c>
      <c r="R408" s="2" t="inlineStr"/>
    </row>
    <row r="409" ht="15" customHeight="1">
      <c r="A409" t="inlineStr">
        <is>
          <t>A 34313-2025</t>
        </is>
      </c>
      <c r="B409" s="1" t="n">
        <v>45846.39778935185</v>
      </c>
      <c r="C409" s="1" t="n">
        <v>46166</v>
      </c>
      <c r="D409" t="inlineStr">
        <is>
          <t>DALARNAS LÄN</t>
        </is>
      </c>
      <c r="E409" t="inlineStr">
        <is>
          <t>GAGNEF</t>
        </is>
      </c>
      <c r="G409" t="n">
        <v>3.1</v>
      </c>
      <c r="H409" t="n">
        <v>0</v>
      </c>
      <c r="I409" t="n">
        <v>0</v>
      </c>
      <c r="J409" t="n">
        <v>0</v>
      </c>
      <c r="K409" t="n">
        <v>0</v>
      </c>
      <c r="L409" t="n">
        <v>0</v>
      </c>
      <c r="M409" t="n">
        <v>0</v>
      </c>
      <c r="N409" t="n">
        <v>0</v>
      </c>
      <c r="O409" t="n">
        <v>0</v>
      </c>
      <c r="P409" t="n">
        <v>0</v>
      </c>
      <c r="Q409" t="n">
        <v>0</v>
      </c>
      <c r="R409" s="2" t="inlineStr"/>
    </row>
    <row r="410" ht="15" customHeight="1">
      <c r="A410" t="inlineStr">
        <is>
          <t>A 34424-2025</t>
        </is>
      </c>
      <c r="B410" s="1" t="n">
        <v>45846.66884259259</v>
      </c>
      <c r="C410" s="1" t="n">
        <v>46166</v>
      </c>
      <c r="D410" t="inlineStr">
        <is>
          <t>DALARNAS LÄN</t>
        </is>
      </c>
      <c r="E410" t="inlineStr">
        <is>
          <t>GAGNEF</t>
        </is>
      </c>
      <c r="G410" t="n">
        <v>3.2</v>
      </c>
      <c r="H410" t="n">
        <v>0</v>
      </c>
      <c r="I410" t="n">
        <v>0</v>
      </c>
      <c r="J410" t="n">
        <v>0</v>
      </c>
      <c r="K410" t="n">
        <v>0</v>
      </c>
      <c r="L410" t="n">
        <v>0</v>
      </c>
      <c r="M410" t="n">
        <v>0</v>
      </c>
      <c r="N410" t="n">
        <v>0</v>
      </c>
      <c r="O410" t="n">
        <v>0</v>
      </c>
      <c r="P410" t="n">
        <v>0</v>
      </c>
      <c r="Q410" t="n">
        <v>0</v>
      </c>
      <c r="R410" s="2" t="inlineStr"/>
    </row>
    <row r="411">
      <c r="A411" t="inlineStr">
        <is>
          <t>A 34429-2025</t>
        </is>
      </c>
      <c r="B411" s="1" t="n">
        <v>45846.67357638889</v>
      </c>
      <c r="C411" s="1" t="n">
        <v>46166</v>
      </c>
      <c r="D411" t="inlineStr">
        <is>
          <t>DALARNAS LÄN</t>
        </is>
      </c>
      <c r="E411" t="inlineStr">
        <is>
          <t>GAGNEF</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2026-05-24T10:54:46Z</dcterms:created>
  <dcterms:modified xmlns:dcterms="http://purl.org/dc/terms/" xmlns:xsi="http://www.w3.org/2001/XMLSchema-instance" xsi:type="dcterms:W3CDTF">2026-05-24T10:54:46Z</dcterms:modified>
</cp:coreProperties>
</file>