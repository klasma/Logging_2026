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22309-2021</t>
        </is>
      </c>
      <c r="B29" s="1" t="n">
        <v>44326</v>
      </c>
      <c r="C29" s="1" t="n">
        <v>45738</v>
      </c>
      <c r="D29" t="inlineStr">
        <is>
          <t>DALARNAS LÄN</t>
        </is>
      </c>
      <c r="E29" t="inlineStr">
        <is>
          <t>GAGNEF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HYPERLINK("https://klasma.github.io/Logging_2026/artfynd/A 22309-2021 artfynd.xlsx", "A 22309-2021")</f>
        <v/>
      </c>
      <c r="T29">
        <f>HYPERLINK("https://klasma.github.io/Logging_2026/kartor/A 22309-2021 karta.png", "A 22309-2021")</f>
        <v/>
      </c>
      <c r="V29">
        <f>HYPERLINK("https://klasma.github.io/Logging_2026/klagomål/A 22309-2021 FSC-klagomål.docx", "A 22309-2021")</f>
        <v/>
      </c>
      <c r="W29">
        <f>HYPERLINK("https://klasma.github.io/Logging_2026/klagomålsmail/A 22309-2021 FSC-klagomål mail.docx", "A 22309-2021")</f>
        <v/>
      </c>
      <c r="X29">
        <f>HYPERLINK("https://klasma.github.io/Logging_2026/tillsyn/A 22309-2021 tillsynsbegäran.docx", "A 22309-2021")</f>
        <v/>
      </c>
      <c r="Y29">
        <f>HYPERLINK("https://klasma.github.io/Logging_2026/tillsynsmail/A 22309-2021 tillsynsbegäran mail.docx", "A 22309-2021")</f>
        <v/>
      </c>
      <c r="Z29">
        <f>HYPERLINK("https://klasma.github.io/Logging_2026/fåglar/A 22309-2021 prioriterade fågelarter.docx", "A 22309-2021")</f>
        <v/>
      </c>
    </row>
    <row r="30" ht="15" customHeight="1">
      <c r="A30" t="inlineStr">
        <is>
          <t>A 64510-2021</t>
        </is>
      </c>
      <c r="B30" s="1" t="n">
        <v>44511</v>
      </c>
      <c r="C30" s="1" t="n">
        <v>45738</v>
      </c>
      <c r="D30" t="inlineStr">
        <is>
          <t>DALARNAS LÄN</t>
        </is>
      </c>
      <c r="E30" t="inlineStr">
        <is>
          <t>GAGNEF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HYPERLINK("https://klasma.github.io/Logging_2026/artfynd/A 64510-2021 artfynd.xlsx", "A 64510-2021")</f>
        <v/>
      </c>
      <c r="T30">
        <f>HYPERLINK("https://klasma.github.io/Logging_2026/kartor/A 64510-2021 karta.png", "A 64510-2021")</f>
        <v/>
      </c>
      <c r="V30">
        <f>HYPERLINK("https://klasma.github.io/Logging_2026/klagomål/A 64510-2021 FSC-klagomål.docx", "A 64510-2021")</f>
        <v/>
      </c>
      <c r="W30">
        <f>HYPERLINK("https://klasma.github.io/Logging_2026/klagomålsmail/A 64510-2021 FSC-klagomål mail.docx", "A 64510-2021")</f>
        <v/>
      </c>
      <c r="X30">
        <f>HYPERLINK("https://klasma.github.io/Logging_2026/tillsyn/A 64510-2021 tillsynsbegäran.docx", "A 64510-2021")</f>
        <v/>
      </c>
      <c r="Y30">
        <f>HYPERLINK("https://klasma.github.io/Logging_2026/tillsynsmail/A 64510-2021 tillsynsbegäran mail.docx", "A 64510-2021")</f>
        <v/>
      </c>
    </row>
    <row r="31" ht="15" customHeight="1">
      <c r="A31" t="inlineStr">
        <is>
          <t>A 20939-2023</t>
        </is>
      </c>
      <c r="B31" s="1" t="n">
        <v>45061</v>
      </c>
      <c r="C31" s="1" t="n">
        <v>45738</v>
      </c>
      <c r="D31" t="inlineStr">
        <is>
          <t>DALARNAS LÄN</t>
        </is>
      </c>
      <c r="E31" t="inlineStr">
        <is>
          <t>GAGNEF</t>
        </is>
      </c>
      <c r="G31" t="n">
        <v>6.8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Gräsull</t>
        </is>
      </c>
      <c r="S31">
        <f>HYPERLINK("https://klasma.github.io/Logging_2026/artfynd/A 20939-2023 artfynd.xlsx", "A 20939-2023")</f>
        <v/>
      </c>
      <c r="T31">
        <f>HYPERLINK("https://klasma.github.io/Logging_2026/kartor/A 20939-2023 karta.png", "A 20939-2023")</f>
        <v/>
      </c>
      <c r="V31">
        <f>HYPERLINK("https://klasma.github.io/Logging_2026/klagomål/A 20939-2023 FSC-klagomål.docx", "A 20939-2023")</f>
        <v/>
      </c>
      <c r="W31">
        <f>HYPERLINK("https://klasma.github.io/Logging_2026/klagomålsmail/A 20939-2023 FSC-klagomål mail.docx", "A 20939-2023")</f>
        <v/>
      </c>
      <c r="X31">
        <f>HYPERLINK("https://klasma.github.io/Logging_2026/tillsyn/A 20939-2023 tillsynsbegäran.docx", "A 20939-2023")</f>
        <v/>
      </c>
      <c r="Y31">
        <f>HYPERLINK("https://klasma.github.io/Logging_2026/tillsynsmail/A 20939-2023 tillsynsbegäran mail.docx", "A 20939-2023")</f>
        <v/>
      </c>
    </row>
    <row r="32" ht="15" customHeight="1">
      <c r="A32" t="inlineStr">
        <is>
          <t>A 21949-2023</t>
        </is>
      </c>
      <c r="B32" s="1" t="n">
        <v>45068</v>
      </c>
      <c r="C32" s="1" t="n">
        <v>45738</v>
      </c>
      <c r="D32" t="inlineStr">
        <is>
          <t>DALARNAS LÄN</t>
        </is>
      </c>
      <c r="E32" t="inlineStr">
        <is>
          <t>GAGNEF</t>
        </is>
      </c>
      <c r="G32" t="n">
        <v>19.3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HYPERLINK("https://klasma.github.io/Logging_2026/artfynd/A 21949-2023 artfynd.xlsx", "A 21949-2023")</f>
        <v/>
      </c>
      <c r="T32">
        <f>HYPERLINK("https://klasma.github.io/Logging_2026/kartor/A 21949-2023 karta.png", "A 21949-2023")</f>
        <v/>
      </c>
      <c r="V32">
        <f>HYPERLINK("https://klasma.github.io/Logging_2026/klagomål/A 21949-2023 FSC-klagomål.docx", "A 21949-2023")</f>
        <v/>
      </c>
      <c r="W32">
        <f>HYPERLINK("https://klasma.github.io/Logging_2026/klagomålsmail/A 21949-2023 FSC-klagomål mail.docx", "A 21949-2023")</f>
        <v/>
      </c>
      <c r="X32">
        <f>HYPERLINK("https://klasma.github.io/Logging_2026/tillsyn/A 21949-2023 tillsynsbegäran.docx", "A 21949-2023")</f>
        <v/>
      </c>
      <c r="Y32">
        <f>HYPERLINK("https://klasma.github.io/Logging_2026/tillsynsmail/A 21949-2023 tillsynsbegäran mail.docx", "A 21949-2023")</f>
        <v/>
      </c>
    </row>
    <row r="33" ht="15" customHeight="1">
      <c r="A33" t="inlineStr">
        <is>
          <t>A 35382-2023</t>
        </is>
      </c>
      <c r="B33" s="1" t="n">
        <v>45146</v>
      </c>
      <c r="C33" s="1" t="n">
        <v>45738</v>
      </c>
      <c r="D33" t="inlineStr">
        <is>
          <t>DALARNAS LÄN</t>
        </is>
      </c>
      <c r="E33" t="inlineStr">
        <is>
          <t>GAGNEF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HYPERLINK("https://klasma.github.io/Logging_2026/artfynd/A 35382-2023 artfynd.xlsx", "A 35382-2023")</f>
        <v/>
      </c>
      <c r="T33">
        <f>HYPERLINK("https://klasma.github.io/Logging_2026/kartor/A 35382-2023 karta.png", "A 35382-2023")</f>
        <v/>
      </c>
      <c r="V33">
        <f>HYPERLINK("https://klasma.github.io/Logging_2026/klagomål/A 35382-2023 FSC-klagomål.docx", "A 35382-2023")</f>
        <v/>
      </c>
      <c r="W33">
        <f>HYPERLINK("https://klasma.github.io/Logging_2026/klagomålsmail/A 35382-2023 FSC-klagomål mail.docx", "A 35382-2023")</f>
        <v/>
      </c>
      <c r="X33">
        <f>HYPERLINK("https://klasma.github.io/Logging_2026/tillsyn/A 35382-2023 tillsynsbegäran.docx", "A 35382-2023")</f>
        <v/>
      </c>
      <c r="Y33">
        <f>HYPERLINK("https://klasma.github.io/Logging_2026/tillsynsmail/A 35382-2023 tillsynsbegäran mail.docx", "A 35382-2023")</f>
        <v/>
      </c>
    </row>
    <row r="34" ht="15" customHeight="1">
      <c r="A34" t="inlineStr">
        <is>
          <t>A 57008-2023</t>
        </is>
      </c>
      <c r="B34" s="1" t="n">
        <v>45244</v>
      </c>
      <c r="C34" s="1" t="n">
        <v>45738</v>
      </c>
      <c r="D34" t="inlineStr">
        <is>
          <t>DALARNAS LÄN</t>
        </is>
      </c>
      <c r="E34" t="inlineStr">
        <is>
          <t>GAGNEF</t>
        </is>
      </c>
      <c r="G34" t="n">
        <v>8.699999999999999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HYPERLINK("https://klasma.github.io/Logging_2026/artfynd/A 57008-2023 artfynd.xlsx", "A 57008-2023")</f>
        <v/>
      </c>
      <c r="T34">
        <f>HYPERLINK("https://klasma.github.io/Logging_2026/kartor/A 57008-2023 karta.png", "A 57008-2023")</f>
        <v/>
      </c>
      <c r="V34">
        <f>HYPERLINK("https://klasma.github.io/Logging_2026/klagomål/A 57008-2023 FSC-klagomål.docx", "A 57008-2023")</f>
        <v/>
      </c>
      <c r="W34">
        <f>HYPERLINK("https://klasma.github.io/Logging_2026/klagomålsmail/A 57008-2023 FSC-klagomål mail.docx", "A 57008-2023")</f>
        <v/>
      </c>
      <c r="X34">
        <f>HYPERLINK("https://klasma.github.io/Logging_2026/tillsyn/A 57008-2023 tillsynsbegäran.docx", "A 57008-2023")</f>
        <v/>
      </c>
      <c r="Y34">
        <f>HYPERLINK("https://klasma.github.io/Logging_2026/tillsynsmail/A 57008-2023 tillsynsbegäran mail.docx", "A 57008-2023")</f>
        <v/>
      </c>
    </row>
    <row r="35" ht="15" customHeight="1">
      <c r="A35" t="inlineStr">
        <is>
          <t>A 14479-2024</t>
        </is>
      </c>
      <c r="B35" s="1" t="n">
        <v>45394</v>
      </c>
      <c r="C35" s="1" t="n">
        <v>45738</v>
      </c>
      <c r="D35" t="inlineStr">
        <is>
          <t>DALARNAS LÄN</t>
        </is>
      </c>
      <c r="E35" t="inlineStr">
        <is>
          <t>GAGNEF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14479-2024 artfynd.xlsx", "A 14479-2024")</f>
        <v/>
      </c>
      <c r="T35">
        <f>HYPERLINK("https://klasma.github.io/Logging_2026/kartor/A 14479-2024 karta.png", "A 14479-2024")</f>
        <v/>
      </c>
      <c r="V35">
        <f>HYPERLINK("https://klasma.github.io/Logging_2026/klagomål/A 14479-2024 FSC-klagomål.docx", "A 14479-2024")</f>
        <v/>
      </c>
      <c r="W35">
        <f>HYPERLINK("https://klasma.github.io/Logging_2026/klagomålsmail/A 14479-2024 FSC-klagomål mail.docx", "A 14479-2024")</f>
        <v/>
      </c>
      <c r="X35">
        <f>HYPERLINK("https://klasma.github.io/Logging_2026/tillsyn/A 14479-2024 tillsynsbegäran.docx", "A 14479-2024")</f>
        <v/>
      </c>
      <c r="Y35">
        <f>HYPERLINK("https://klasma.github.io/Logging_2026/tillsynsmail/A 14479-2024 tillsynsbegäran mail.docx", "A 14479-2024")</f>
        <v/>
      </c>
    </row>
    <row r="36" ht="15" customHeight="1">
      <c r="A36" t="inlineStr">
        <is>
          <t>A 20295-2024</t>
        </is>
      </c>
      <c r="B36" s="1" t="n">
        <v>45435</v>
      </c>
      <c r="C36" s="1" t="n">
        <v>45738</v>
      </c>
      <c r="D36" t="inlineStr">
        <is>
          <t>DALARNAS LÄN</t>
        </is>
      </c>
      <c r="E36" t="inlineStr">
        <is>
          <t>GAGNEF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20295-2024 artfynd.xlsx", "A 20295-2024")</f>
        <v/>
      </c>
      <c r="T36">
        <f>HYPERLINK("https://klasma.github.io/Logging_2026/kartor/A 20295-2024 karta.png", "A 20295-2024")</f>
        <v/>
      </c>
      <c r="V36">
        <f>HYPERLINK("https://klasma.github.io/Logging_2026/klagomål/A 20295-2024 FSC-klagomål.docx", "A 20295-2024")</f>
        <v/>
      </c>
      <c r="W36">
        <f>HYPERLINK("https://klasma.github.io/Logging_2026/klagomålsmail/A 20295-2024 FSC-klagomål mail.docx", "A 20295-2024")</f>
        <v/>
      </c>
      <c r="X36">
        <f>HYPERLINK("https://klasma.github.io/Logging_2026/tillsyn/A 20295-2024 tillsynsbegäran.docx", "A 20295-2024")</f>
        <v/>
      </c>
      <c r="Y36">
        <f>HYPERLINK("https://klasma.github.io/Logging_2026/tillsynsmail/A 20295-2024 tillsynsbegäran mail.docx", "A 20295-2024")</f>
        <v/>
      </c>
    </row>
    <row r="37" ht="15" customHeight="1">
      <c r="A37" t="inlineStr">
        <is>
          <t>A 27984-2024</t>
        </is>
      </c>
      <c r="B37" s="1" t="n">
        <v>45476</v>
      </c>
      <c r="C37" s="1" t="n">
        <v>45738</v>
      </c>
      <c r="D37" t="inlineStr">
        <is>
          <t>DALARNAS LÄN</t>
        </is>
      </c>
      <c r="E37" t="inlineStr">
        <is>
          <t>GAGNEF</t>
        </is>
      </c>
      <c r="G37" t="n">
        <v>15.5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HYPERLINK("https://klasma.github.io/Logging_2026/artfynd/A 27984-2024 artfynd.xlsx", "A 27984-2024")</f>
        <v/>
      </c>
      <c r="T37">
        <f>HYPERLINK("https://klasma.github.io/Logging_2026/kartor/A 27984-2024 karta.png", "A 27984-2024")</f>
        <v/>
      </c>
      <c r="V37">
        <f>HYPERLINK("https://klasma.github.io/Logging_2026/klagomål/A 27984-2024 FSC-klagomål.docx", "A 27984-2024")</f>
        <v/>
      </c>
      <c r="W37">
        <f>HYPERLINK("https://klasma.github.io/Logging_2026/klagomålsmail/A 27984-2024 FSC-klagomål mail.docx", "A 27984-2024")</f>
        <v/>
      </c>
      <c r="X37">
        <f>HYPERLINK("https://klasma.github.io/Logging_2026/tillsyn/A 27984-2024 tillsynsbegäran.docx", "A 27984-2024")</f>
        <v/>
      </c>
      <c r="Y37">
        <f>HYPERLINK("https://klasma.github.io/Logging_2026/tillsynsmail/A 27984-2024 tillsynsbegäran mail.docx", "A 27984-2024")</f>
        <v/>
      </c>
      <c r="Z37">
        <f>HYPERLINK("https://klasma.github.io/Logging_2026/fåglar/A 27984-2024 prioriterade fågelarter.docx", "A 27984-2024")</f>
        <v/>
      </c>
    </row>
    <row r="38" ht="15" customHeight="1">
      <c r="A38" t="inlineStr">
        <is>
          <t>A 28550-2024</t>
        </is>
      </c>
      <c r="B38" s="1" t="n">
        <v>45478</v>
      </c>
      <c r="C38" s="1" t="n">
        <v>45738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Citronporing</t>
        </is>
      </c>
      <c r="S38">
        <f>HYPERLINK("https://klasma.github.io/Logging_2026/artfynd/A 28550-2024 artfynd.xlsx", "A 28550-2024")</f>
        <v/>
      </c>
      <c r="T38">
        <f>HYPERLINK("https://klasma.github.io/Logging_2026/kartor/A 28550-2024 karta.png", "A 28550-2024")</f>
        <v/>
      </c>
      <c r="V38">
        <f>HYPERLINK("https://klasma.github.io/Logging_2026/klagomål/A 28550-2024 FSC-klagomål.docx", "A 28550-2024")</f>
        <v/>
      </c>
      <c r="W38">
        <f>HYPERLINK("https://klasma.github.io/Logging_2026/klagomålsmail/A 28550-2024 FSC-klagomål mail.docx", "A 28550-2024")</f>
        <v/>
      </c>
      <c r="X38">
        <f>HYPERLINK("https://klasma.github.io/Logging_2026/tillsyn/A 28550-2024 tillsynsbegäran.docx", "A 28550-2024")</f>
        <v/>
      </c>
      <c r="Y38">
        <f>HYPERLINK("https://klasma.github.io/Logging_2026/tillsynsmail/A 28550-2024 tillsynsbegäran mail.docx", "A 28550-2024")</f>
        <v/>
      </c>
    </row>
    <row r="39" ht="15" customHeight="1">
      <c r="A39" t="inlineStr">
        <is>
          <t>A 55812-2024</t>
        </is>
      </c>
      <c r="B39" s="1" t="n">
        <v>45623</v>
      </c>
      <c r="C39" s="1" t="n">
        <v>45738</v>
      </c>
      <c r="D39" t="inlineStr">
        <is>
          <t>DALARNAS LÄN</t>
        </is>
      </c>
      <c r="E39" t="inlineStr">
        <is>
          <t>GAGNEF</t>
        </is>
      </c>
      <c r="G39" t="n">
        <v>11.3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HYPERLINK("https://klasma.github.io/Logging_2026/artfynd/A 55812-2024 artfynd.xlsx", "A 55812-2024")</f>
        <v/>
      </c>
      <c r="T39">
        <f>HYPERLINK("https://klasma.github.io/Logging_2026/kartor/A 55812-2024 karta.png", "A 55812-2024")</f>
        <v/>
      </c>
      <c r="V39">
        <f>HYPERLINK("https://klasma.github.io/Logging_2026/klagomål/A 55812-2024 FSC-klagomål.docx", "A 55812-2024")</f>
        <v/>
      </c>
      <c r="W39">
        <f>HYPERLINK("https://klasma.github.io/Logging_2026/klagomålsmail/A 55812-2024 FSC-klagomål mail.docx", "A 55812-2024")</f>
        <v/>
      </c>
      <c r="X39">
        <f>HYPERLINK("https://klasma.github.io/Logging_2026/tillsyn/A 55812-2024 tillsynsbegäran.docx", "A 55812-2024")</f>
        <v/>
      </c>
      <c r="Y39">
        <f>HYPERLINK("https://klasma.github.io/Logging_2026/tillsynsmail/A 55812-2024 tillsynsbegäran mail.docx", "A 55812-2024")</f>
        <v/>
      </c>
    </row>
    <row r="40" ht="15" customHeight="1">
      <c r="A40" t="inlineStr">
        <is>
          <t>A 61787-2024</t>
        </is>
      </c>
      <c r="B40" s="1" t="n">
        <v>45649</v>
      </c>
      <c r="C40" s="1" t="n">
        <v>45738</v>
      </c>
      <c r="D40" t="inlineStr">
        <is>
          <t>DALARNAS LÄN</t>
        </is>
      </c>
      <c r="E40" t="inlineStr">
        <is>
          <t>GAGNEF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HYPERLINK("https://klasma.github.io/Logging_2026/artfynd/A 61787-2024 artfynd.xlsx", "A 61787-2024")</f>
        <v/>
      </c>
      <c r="T40">
        <f>HYPERLINK("https://klasma.github.io/Logging_2026/kartor/A 61787-2024 karta.png", "A 61787-2024")</f>
        <v/>
      </c>
      <c r="V40">
        <f>HYPERLINK("https://klasma.github.io/Logging_2026/klagomål/A 61787-2024 FSC-klagomål.docx", "A 61787-2024")</f>
        <v/>
      </c>
      <c r="W40">
        <f>HYPERLINK("https://klasma.github.io/Logging_2026/klagomålsmail/A 61787-2024 FSC-klagomål mail.docx", "A 61787-2024")</f>
        <v/>
      </c>
      <c r="X40">
        <f>HYPERLINK("https://klasma.github.io/Logging_2026/tillsyn/A 61787-2024 tillsynsbegäran.docx", "A 61787-2024")</f>
        <v/>
      </c>
      <c r="Y40">
        <f>HYPERLINK("https://klasma.github.io/Logging_2026/tillsynsmail/A 61787-2024 tillsynsbegäran mail.docx", "A 61787-2024")</f>
        <v/>
      </c>
    </row>
    <row r="41" ht="15" customHeight="1">
      <c r="A41" t="inlineStr">
        <is>
          <t>A 18339-2019</t>
        </is>
      </c>
      <c r="B41" s="1" t="n">
        <v>43559</v>
      </c>
      <c r="C41" s="1" t="n">
        <v>45738</v>
      </c>
      <c r="D41" t="inlineStr">
        <is>
          <t>DALARNAS LÄN</t>
        </is>
      </c>
      <c r="E41" t="inlineStr">
        <is>
          <t>GAGNEF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19154-2019</t>
        </is>
      </c>
      <c r="B42" s="1" t="n">
        <v>43564</v>
      </c>
      <c r="C42" s="1" t="n">
        <v>45738</v>
      </c>
      <c r="D42" t="inlineStr">
        <is>
          <t>DALARNAS LÄN</t>
        </is>
      </c>
      <c r="E42" t="inlineStr">
        <is>
          <t>GAGNEF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21900-2019</t>
        </is>
      </c>
      <c r="B43" s="1" t="n">
        <v>43578</v>
      </c>
      <c r="C43" s="1" t="n">
        <v>45738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22881-2019</t>
        </is>
      </c>
      <c r="B44" s="1" t="n">
        <v>43591</v>
      </c>
      <c r="C44" s="1" t="n">
        <v>45738</v>
      </c>
      <c r="D44" t="inlineStr">
        <is>
          <t>DALARNAS LÄN</t>
        </is>
      </c>
      <c r="E44" t="inlineStr">
        <is>
          <t>GAGNEF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23757-2019</t>
        </is>
      </c>
      <c r="B45" s="1" t="n">
        <v>43594</v>
      </c>
      <c r="C45" s="1" t="n">
        <v>45738</v>
      </c>
      <c r="D45" t="inlineStr">
        <is>
          <t>DALARNAS LÄN</t>
        </is>
      </c>
      <c r="E45" t="inlineStr">
        <is>
          <t>GAGNEF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24087-2019</t>
        </is>
      </c>
      <c r="B46" s="1" t="n">
        <v>43598</v>
      </c>
      <c r="C46" s="1" t="n">
        <v>45738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24626-2019</t>
        </is>
      </c>
      <c r="B47" s="1" t="n">
        <v>43601</v>
      </c>
      <c r="C47" s="1" t="n">
        <v>45738</v>
      </c>
      <c r="D47" t="inlineStr">
        <is>
          <t>DALARNAS LÄN</t>
        </is>
      </c>
      <c r="E47" t="inlineStr">
        <is>
          <t>GAGNEF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24735-2019</t>
        </is>
      </c>
      <c r="B48" s="1" t="n">
        <v>43601</v>
      </c>
      <c r="C48" s="1" t="n">
        <v>45738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25055-2019</t>
        </is>
      </c>
      <c r="B49" s="1" t="n">
        <v>43604</v>
      </c>
      <c r="C49" s="1" t="n">
        <v>45738</v>
      </c>
      <c r="D49" t="inlineStr">
        <is>
          <t>DALARNAS LÄN</t>
        </is>
      </c>
      <c r="E49" t="inlineStr">
        <is>
          <t>GAGNEF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25196-2019</t>
        </is>
      </c>
      <c r="B50" s="1" t="n">
        <v>43605</v>
      </c>
      <c r="C50" s="1" t="n">
        <v>45738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25249-2019</t>
        </is>
      </c>
      <c r="B51" s="1" t="n">
        <v>43605</v>
      </c>
      <c r="C51" s="1" t="n">
        <v>45738</v>
      </c>
      <c r="D51" t="inlineStr">
        <is>
          <t>DALARNAS LÄN</t>
        </is>
      </c>
      <c r="E51" t="inlineStr">
        <is>
          <t>GAGNEF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25710-2019</t>
        </is>
      </c>
      <c r="B52" s="1" t="n">
        <v>43607</v>
      </c>
      <c r="C52" s="1" t="n">
        <v>45738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26591-2019</t>
        </is>
      </c>
      <c r="B53" s="1" t="n">
        <v>43612</v>
      </c>
      <c r="C53" s="1" t="n">
        <v>45738</v>
      </c>
      <c r="D53" t="inlineStr">
        <is>
          <t>DALARNAS LÄN</t>
        </is>
      </c>
      <c r="E53" t="inlineStr">
        <is>
          <t>GAGNEF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28924-2019</t>
        </is>
      </c>
      <c r="B54" s="1" t="n">
        <v>43619</v>
      </c>
      <c r="C54" s="1" t="n">
        <v>45738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28001-2019</t>
        </is>
      </c>
      <c r="B55" s="1" t="n">
        <v>43621</v>
      </c>
      <c r="C55" s="1" t="n">
        <v>45738</v>
      </c>
      <c r="D55" t="inlineStr">
        <is>
          <t>DALARNAS LÄN</t>
        </is>
      </c>
      <c r="E55" t="inlineStr">
        <is>
          <t>GAGNEF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29827-2019</t>
        </is>
      </c>
      <c r="B56" s="1" t="n">
        <v>43633</v>
      </c>
      <c r="C56" s="1" t="n">
        <v>45738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30522-2019</t>
        </is>
      </c>
      <c r="B57" s="1" t="n">
        <v>43635</v>
      </c>
      <c r="C57" s="1" t="n">
        <v>45738</v>
      </c>
      <c r="D57" t="inlineStr">
        <is>
          <t>DALARNAS LÄN</t>
        </is>
      </c>
      <c r="E57" t="inlineStr">
        <is>
          <t>GAGNEF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31365-2019</t>
        </is>
      </c>
      <c r="B58" s="1" t="n">
        <v>43636</v>
      </c>
      <c r="C58" s="1" t="n">
        <v>45738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30734-2019</t>
        </is>
      </c>
      <c r="B59" s="1" t="n">
        <v>43636</v>
      </c>
      <c r="C59" s="1" t="n">
        <v>45738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31170-2019</t>
        </is>
      </c>
      <c r="B60" s="1" t="n">
        <v>43640</v>
      </c>
      <c r="C60" s="1" t="n">
        <v>45738</v>
      </c>
      <c r="D60" t="inlineStr">
        <is>
          <t>DALARNAS LÄN</t>
        </is>
      </c>
      <c r="E60" t="inlineStr">
        <is>
          <t>GAGNEF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31247-2019</t>
        </is>
      </c>
      <c r="B61" s="1" t="n">
        <v>43640</v>
      </c>
      <c r="C61" s="1" t="n">
        <v>45738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31455-2019</t>
        </is>
      </c>
      <c r="B62" s="1" t="n">
        <v>43641</v>
      </c>
      <c r="C62" s="1" t="n">
        <v>45738</v>
      </c>
      <c r="D62" t="inlineStr">
        <is>
          <t>DALARNAS LÄN</t>
        </is>
      </c>
      <c r="E62" t="inlineStr">
        <is>
          <t>GAGNEF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31732-2019</t>
        </is>
      </c>
      <c r="B63" s="1" t="n">
        <v>43642</v>
      </c>
      <c r="C63" s="1" t="n">
        <v>45738</v>
      </c>
      <c r="D63" t="inlineStr">
        <is>
          <t>DALARNAS LÄN</t>
        </is>
      </c>
      <c r="E63" t="inlineStr">
        <is>
          <t>GAGNEF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31823-2019</t>
        </is>
      </c>
      <c r="B64" s="1" t="n">
        <v>43642</v>
      </c>
      <c r="C64" s="1" t="n">
        <v>45738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32463-2019</t>
        </is>
      </c>
      <c r="B65" s="1" t="n">
        <v>43644</v>
      </c>
      <c r="C65" s="1" t="n">
        <v>45738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32326-2019</t>
        </is>
      </c>
      <c r="B66" s="1" t="n">
        <v>43644</v>
      </c>
      <c r="C66" s="1" t="n">
        <v>45738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32922-2019</t>
        </is>
      </c>
      <c r="B67" s="1" t="n">
        <v>43648</v>
      </c>
      <c r="C67" s="1" t="n">
        <v>45738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33227-2019</t>
        </is>
      </c>
      <c r="B68" s="1" t="n">
        <v>43650</v>
      </c>
      <c r="C68" s="1" t="n">
        <v>45738</v>
      </c>
      <c r="D68" t="inlineStr">
        <is>
          <t>DALARNAS LÄN</t>
        </is>
      </c>
      <c r="E68" t="inlineStr">
        <is>
          <t>GAGNEF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33229-2019</t>
        </is>
      </c>
      <c r="B69" s="1" t="n">
        <v>43650</v>
      </c>
      <c r="C69" s="1" t="n">
        <v>45738</v>
      </c>
      <c r="D69" t="inlineStr">
        <is>
          <t>DALARNAS LÄN</t>
        </is>
      </c>
      <c r="E69" t="inlineStr">
        <is>
          <t>GAGNEF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33767-2019</t>
        </is>
      </c>
      <c r="B70" s="1" t="n">
        <v>43651</v>
      </c>
      <c r="C70" s="1" t="n">
        <v>45738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34161-2019</t>
        </is>
      </c>
      <c r="B71" s="1" t="n">
        <v>43655</v>
      </c>
      <c r="C71" s="1" t="n">
        <v>45738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34404-2019</t>
        </is>
      </c>
      <c r="B72" s="1" t="n">
        <v>43656</v>
      </c>
      <c r="C72" s="1" t="n">
        <v>45738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36797-2019</t>
        </is>
      </c>
      <c r="B73" s="1" t="n">
        <v>43672</v>
      </c>
      <c r="C73" s="1" t="n">
        <v>45738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36798-2019</t>
        </is>
      </c>
      <c r="B74" s="1" t="n">
        <v>43672</v>
      </c>
      <c r="C74" s="1" t="n">
        <v>45738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36933-2019</t>
        </is>
      </c>
      <c r="B75" s="1" t="n">
        <v>43675</v>
      </c>
      <c r="C75" s="1" t="n">
        <v>45738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38282-2019</t>
        </is>
      </c>
      <c r="B76" s="1" t="n">
        <v>43684</v>
      </c>
      <c r="C76" s="1" t="n">
        <v>45738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38370-2019</t>
        </is>
      </c>
      <c r="B77" s="1" t="n">
        <v>43685</v>
      </c>
      <c r="C77" s="1" t="n">
        <v>45738</v>
      </c>
      <c r="D77" t="inlineStr">
        <is>
          <t>DALARNAS LÄN</t>
        </is>
      </c>
      <c r="E77" t="inlineStr">
        <is>
          <t>GAGNEF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40035-2019</t>
        </is>
      </c>
      <c r="B78" s="1" t="n">
        <v>43693</v>
      </c>
      <c r="C78" s="1" t="n">
        <v>45738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41853-2019</t>
        </is>
      </c>
      <c r="B79" s="1" t="n">
        <v>43700</v>
      </c>
      <c r="C79" s="1" t="n">
        <v>45738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44384-2019</t>
        </is>
      </c>
      <c r="B80" s="1" t="n">
        <v>43705</v>
      </c>
      <c r="C80" s="1" t="n">
        <v>45738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46167-2019</t>
        </is>
      </c>
      <c r="B81" s="1" t="n">
        <v>43712</v>
      </c>
      <c r="C81" s="1" t="n">
        <v>45738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47273-2019</t>
        </is>
      </c>
      <c r="B82" s="1" t="n">
        <v>43721</v>
      </c>
      <c r="C82" s="1" t="n">
        <v>45738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51872-2019</t>
        </is>
      </c>
      <c r="B83" s="1" t="n">
        <v>43741</v>
      </c>
      <c r="C83" s="1" t="n">
        <v>45738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52163-2019</t>
        </is>
      </c>
      <c r="B84" s="1" t="n">
        <v>43742</v>
      </c>
      <c r="C84" s="1" t="n">
        <v>45738</v>
      </c>
      <c r="D84" t="inlineStr">
        <is>
          <t>DALARNAS LÄN</t>
        </is>
      </c>
      <c r="E84" t="inlineStr">
        <is>
          <t>GAGNEF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52495-2019</t>
        </is>
      </c>
      <c r="B85" s="1" t="n">
        <v>43745</v>
      </c>
      <c r="C85" s="1" t="n">
        <v>45738</v>
      </c>
      <c r="D85" t="inlineStr">
        <is>
          <t>DALARNAS LÄN</t>
        </is>
      </c>
      <c r="E85" t="inlineStr">
        <is>
          <t>GAGNEF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52298-2019</t>
        </is>
      </c>
      <c r="B86" s="1" t="n">
        <v>43745</v>
      </c>
      <c r="C86" s="1" t="n">
        <v>45738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52746-2019</t>
        </is>
      </c>
      <c r="B87" s="1" t="n">
        <v>43746</v>
      </c>
      <c r="C87" s="1" t="n">
        <v>45738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55213-2019</t>
        </is>
      </c>
      <c r="B88" s="1" t="n">
        <v>43756</v>
      </c>
      <c r="C88" s="1" t="n">
        <v>45738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56264-2019</t>
        </is>
      </c>
      <c r="B89" s="1" t="n">
        <v>43762</v>
      </c>
      <c r="C89" s="1" t="n">
        <v>45738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56714-2019</t>
        </is>
      </c>
      <c r="B90" s="1" t="n">
        <v>43763</v>
      </c>
      <c r="C90" s="1" t="n">
        <v>45738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57728-2019</t>
        </is>
      </c>
      <c r="B91" s="1" t="n">
        <v>43768</v>
      </c>
      <c r="C91" s="1" t="n">
        <v>45738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58336-2019</t>
        </is>
      </c>
      <c r="B92" s="1" t="n">
        <v>43770</v>
      </c>
      <c r="C92" s="1" t="n">
        <v>45738</v>
      </c>
      <c r="D92" t="inlineStr">
        <is>
          <t>DALARNAS LÄN</t>
        </is>
      </c>
      <c r="E92" t="inlineStr">
        <is>
          <t>GAGNEF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60629-2019</t>
        </is>
      </c>
      <c r="B93" s="1" t="n">
        <v>43781</v>
      </c>
      <c r="C93" s="1" t="n">
        <v>45738</v>
      </c>
      <c r="D93" t="inlineStr">
        <is>
          <t>DALARNAS LÄN</t>
        </is>
      </c>
      <c r="E93" t="inlineStr">
        <is>
          <t>GAGNEF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62307-2019</t>
        </is>
      </c>
      <c r="B94" s="1" t="n">
        <v>43788</v>
      </c>
      <c r="C94" s="1" t="n">
        <v>45738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65118-2019</t>
        </is>
      </c>
      <c r="B95" s="1" t="n">
        <v>43802</v>
      </c>
      <c r="C95" s="1" t="n">
        <v>45738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66716-2019</t>
        </is>
      </c>
      <c r="B96" s="1" t="n">
        <v>43809</v>
      </c>
      <c r="C96" s="1" t="n">
        <v>45738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67948-2019</t>
        </is>
      </c>
      <c r="B97" s="1" t="n">
        <v>43811</v>
      </c>
      <c r="C97" s="1" t="n">
        <v>45738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67999-2019</t>
        </is>
      </c>
      <c r="B98" s="1" t="n">
        <v>43816</v>
      </c>
      <c r="C98" s="1" t="n">
        <v>45738</v>
      </c>
      <c r="D98" t="inlineStr">
        <is>
          <t>DALARNAS LÄN</t>
        </is>
      </c>
      <c r="E98" t="inlineStr">
        <is>
          <t>GAGNEF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68547-2019</t>
        </is>
      </c>
      <c r="B99" s="1" t="n">
        <v>43818</v>
      </c>
      <c r="C99" s="1" t="n">
        <v>45738</v>
      </c>
      <c r="D99" t="inlineStr">
        <is>
          <t>DALARNAS LÄN</t>
        </is>
      </c>
      <c r="E99" t="inlineStr">
        <is>
          <t>GAGNEF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1993-2020</t>
        </is>
      </c>
      <c r="B100" s="1" t="n">
        <v>43845</v>
      </c>
      <c r="C100" s="1" t="n">
        <v>45738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3436-2020</t>
        </is>
      </c>
      <c r="B101" s="1" t="n">
        <v>43845</v>
      </c>
      <c r="C101" s="1" t="n">
        <v>45738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2904-2020</t>
        </is>
      </c>
      <c r="B102" s="1" t="n">
        <v>43850</v>
      </c>
      <c r="C102" s="1" t="n">
        <v>45738</v>
      </c>
      <c r="D102" t="inlineStr">
        <is>
          <t>DALARNAS LÄN</t>
        </is>
      </c>
      <c r="E102" t="inlineStr">
        <is>
          <t>GAGNEF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5690-2020</t>
        </is>
      </c>
      <c r="B103" s="1" t="n">
        <v>43861</v>
      </c>
      <c r="C103" s="1" t="n">
        <v>45738</v>
      </c>
      <c r="D103" t="inlineStr">
        <is>
          <t>DALARNAS LÄN</t>
        </is>
      </c>
      <c r="E103" t="inlineStr">
        <is>
          <t>GAGNEF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6451-2020</t>
        </is>
      </c>
      <c r="B104" s="1" t="n">
        <v>43866</v>
      </c>
      <c r="C104" s="1" t="n">
        <v>45738</v>
      </c>
      <c r="D104" t="inlineStr">
        <is>
          <t>DALARNAS LÄN</t>
        </is>
      </c>
      <c r="E104" t="inlineStr">
        <is>
          <t>GAGNEF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6993-2020</t>
        </is>
      </c>
      <c r="B105" s="1" t="n">
        <v>43868</v>
      </c>
      <c r="C105" s="1" t="n">
        <v>45738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9169-2020</t>
        </is>
      </c>
      <c r="B106" s="1" t="n">
        <v>43879</v>
      </c>
      <c r="C106" s="1" t="n">
        <v>45738</v>
      </c>
      <c r="D106" t="inlineStr">
        <is>
          <t>DALARNAS LÄN</t>
        </is>
      </c>
      <c r="E106" t="inlineStr">
        <is>
          <t>GAGNEF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16736-2020</t>
        </is>
      </c>
      <c r="B107" s="1" t="n">
        <v>43920</v>
      </c>
      <c r="C107" s="1" t="n">
        <v>45738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16995-2020</t>
        </is>
      </c>
      <c r="B108" s="1" t="n">
        <v>43921</v>
      </c>
      <c r="C108" s="1" t="n">
        <v>45738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18496-2020</t>
        </is>
      </c>
      <c r="B109" s="1" t="n">
        <v>43929</v>
      </c>
      <c r="C109" s="1" t="n">
        <v>45738</v>
      </c>
      <c r="D109" t="inlineStr">
        <is>
          <t>DALARNAS LÄN</t>
        </is>
      </c>
      <c r="E109" t="inlineStr">
        <is>
          <t>GAGNEF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18622-2020</t>
        </is>
      </c>
      <c r="B110" s="1" t="n">
        <v>43930</v>
      </c>
      <c r="C110" s="1" t="n">
        <v>45738</v>
      </c>
      <c r="D110" t="inlineStr">
        <is>
          <t>DALARNAS LÄN</t>
        </is>
      </c>
      <c r="E110" t="inlineStr">
        <is>
          <t>GAGNEF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21319-2020</t>
        </is>
      </c>
      <c r="B111" s="1" t="n">
        <v>43955</v>
      </c>
      <c r="C111" s="1" t="n">
        <v>45738</v>
      </c>
      <c r="D111" t="inlineStr">
        <is>
          <t>DALARNAS LÄN</t>
        </is>
      </c>
      <c r="E111" t="inlineStr">
        <is>
          <t>GAGNEF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23390-2020</t>
        </is>
      </c>
      <c r="B112" s="1" t="n">
        <v>43968</v>
      </c>
      <c r="C112" s="1" t="n">
        <v>45738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25312-2020</t>
        </is>
      </c>
      <c r="B113" s="1" t="n">
        <v>43980</v>
      </c>
      <c r="C113" s="1" t="n">
        <v>45738</v>
      </c>
      <c r="D113" t="inlineStr">
        <is>
          <t>DALARNAS LÄN</t>
        </is>
      </c>
      <c r="E113" t="inlineStr">
        <is>
          <t>GAGNEF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26658-2020</t>
        </is>
      </c>
      <c r="B114" s="1" t="n">
        <v>43989</v>
      </c>
      <c r="C114" s="1" t="n">
        <v>45738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28810-2020</t>
        </is>
      </c>
      <c r="B115" s="1" t="n">
        <v>44000</v>
      </c>
      <c r="C115" s="1" t="n">
        <v>45738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29519-2020</t>
        </is>
      </c>
      <c r="B116" s="1" t="n">
        <v>44005</v>
      </c>
      <c r="C116" s="1" t="n">
        <v>45738</v>
      </c>
      <c r="D116" t="inlineStr">
        <is>
          <t>DALARNAS LÄN</t>
        </is>
      </c>
      <c r="E116" t="inlineStr">
        <is>
          <t>GAGNEF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31601-2020</t>
        </is>
      </c>
      <c r="B117" s="1" t="n">
        <v>44013</v>
      </c>
      <c r="C117" s="1" t="n">
        <v>45738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31943-2020</t>
        </is>
      </c>
      <c r="B118" s="1" t="n">
        <v>44014</v>
      </c>
      <c r="C118" s="1" t="n">
        <v>45738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31945-2020</t>
        </is>
      </c>
      <c r="B119" s="1" t="n">
        <v>44014</v>
      </c>
      <c r="C119" s="1" t="n">
        <v>45738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32073-2020</t>
        </is>
      </c>
      <c r="B120" s="1" t="n">
        <v>44015</v>
      </c>
      <c r="C120" s="1" t="n">
        <v>45738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35440-2020</t>
        </is>
      </c>
      <c r="B121" s="1" t="n">
        <v>44042</v>
      </c>
      <c r="C121" s="1" t="n">
        <v>45738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36910-2020</t>
        </is>
      </c>
      <c r="B122" s="1" t="n">
        <v>44053</v>
      </c>
      <c r="C122" s="1" t="n">
        <v>45738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42433-2020</t>
        </is>
      </c>
      <c r="B123" s="1" t="n">
        <v>44076</v>
      </c>
      <c r="C123" s="1" t="n">
        <v>45738</v>
      </c>
      <c r="D123" t="inlineStr">
        <is>
          <t>DALARNAS LÄN</t>
        </is>
      </c>
      <c r="E123" t="inlineStr">
        <is>
          <t>GAGNEF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42575-2020</t>
        </is>
      </c>
      <c r="B124" s="1" t="n">
        <v>44077</v>
      </c>
      <c r="C124" s="1" t="n">
        <v>45738</v>
      </c>
      <c r="D124" t="inlineStr">
        <is>
          <t>DALARNAS LÄN</t>
        </is>
      </c>
      <c r="E124" t="inlineStr">
        <is>
          <t>GAGNEF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42874-2020</t>
        </is>
      </c>
      <c r="B125" s="1" t="n">
        <v>44078</v>
      </c>
      <c r="C125" s="1" t="n">
        <v>45738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43301-2020</t>
        </is>
      </c>
      <c r="B126" s="1" t="n">
        <v>44081</v>
      </c>
      <c r="C126" s="1" t="n">
        <v>45738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43296-2020</t>
        </is>
      </c>
      <c r="B127" s="1" t="n">
        <v>44081</v>
      </c>
      <c r="C127" s="1" t="n">
        <v>45738</v>
      </c>
      <c r="D127" t="inlineStr">
        <is>
          <t>DALARNAS LÄN</t>
        </is>
      </c>
      <c r="E127" t="inlineStr">
        <is>
          <t>GAGNEF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44641-2020</t>
        </is>
      </c>
      <c r="B128" s="1" t="n">
        <v>44085</v>
      </c>
      <c r="C128" s="1" t="n">
        <v>45738</v>
      </c>
      <c r="D128" t="inlineStr">
        <is>
          <t>DALARNAS LÄN</t>
        </is>
      </c>
      <c r="E128" t="inlineStr">
        <is>
          <t>GAGNEF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45340-2020</t>
        </is>
      </c>
      <c r="B129" s="1" t="n">
        <v>44089</v>
      </c>
      <c r="C129" s="1" t="n">
        <v>45738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48504-2020</t>
        </is>
      </c>
      <c r="B130" s="1" t="n">
        <v>44103</v>
      </c>
      <c r="C130" s="1" t="n">
        <v>45738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50505-2020</t>
        </is>
      </c>
      <c r="B131" s="1" t="n">
        <v>44110</v>
      </c>
      <c r="C131" s="1" t="n">
        <v>45738</v>
      </c>
      <c r="D131" t="inlineStr">
        <is>
          <t>DALARNAS LÄN</t>
        </is>
      </c>
      <c r="E131" t="inlineStr">
        <is>
          <t>GAGNEF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50758-2020</t>
        </is>
      </c>
      <c r="B132" s="1" t="n">
        <v>44111</v>
      </c>
      <c r="C132" s="1" t="n">
        <v>45738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51474-2020</t>
        </is>
      </c>
      <c r="B133" s="1" t="n">
        <v>44113</v>
      </c>
      <c r="C133" s="1" t="n">
        <v>45738</v>
      </c>
      <c r="D133" t="inlineStr">
        <is>
          <t>DALARNAS LÄN</t>
        </is>
      </c>
      <c r="E133" t="inlineStr">
        <is>
          <t>GAGNEF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54336-2020</t>
        </is>
      </c>
      <c r="B134" s="1" t="n">
        <v>44126</v>
      </c>
      <c r="C134" s="1" t="n">
        <v>45738</v>
      </c>
      <c r="D134" t="inlineStr">
        <is>
          <t>DALARNAS LÄN</t>
        </is>
      </c>
      <c r="E134" t="inlineStr">
        <is>
          <t>GAGNEF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55502-2020</t>
        </is>
      </c>
      <c r="B135" s="1" t="n">
        <v>44131</v>
      </c>
      <c r="C135" s="1" t="n">
        <v>45738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58133-2020</t>
        </is>
      </c>
      <c r="B136" s="1" t="n">
        <v>44144</v>
      </c>
      <c r="C136" s="1" t="n">
        <v>45738</v>
      </c>
      <c r="D136" t="inlineStr">
        <is>
          <t>DALARNAS LÄN</t>
        </is>
      </c>
      <c r="E136" t="inlineStr">
        <is>
          <t>GAGNEF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58424-2020</t>
        </is>
      </c>
      <c r="B137" s="1" t="n">
        <v>44145</v>
      </c>
      <c r="C137" s="1" t="n">
        <v>45738</v>
      </c>
      <c r="D137" t="inlineStr">
        <is>
          <t>DALARNAS LÄN</t>
        </is>
      </c>
      <c r="E137" t="inlineStr">
        <is>
          <t>GAGNEF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61084-2020</t>
        </is>
      </c>
      <c r="B138" s="1" t="n">
        <v>44154</v>
      </c>
      <c r="C138" s="1" t="n">
        <v>45738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63131-2020</t>
        </is>
      </c>
      <c r="B139" s="1" t="n">
        <v>44162</v>
      </c>
      <c r="C139" s="1" t="n">
        <v>45738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63585-2020</t>
        </is>
      </c>
      <c r="B140" s="1" t="n">
        <v>44165</v>
      </c>
      <c r="C140" s="1" t="n">
        <v>45738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65148-2020</t>
        </is>
      </c>
      <c r="B141" s="1" t="n">
        <v>44172</v>
      </c>
      <c r="C141" s="1" t="n">
        <v>45738</v>
      </c>
      <c r="D141" t="inlineStr">
        <is>
          <t>DALARNAS LÄN</t>
        </is>
      </c>
      <c r="E141" t="inlineStr">
        <is>
          <t>GAGNEF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68219-2020</t>
        </is>
      </c>
      <c r="B142" s="1" t="n">
        <v>44183</v>
      </c>
      <c r="C142" s="1" t="n">
        <v>45738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68609-2020</t>
        </is>
      </c>
      <c r="B143" s="1" t="n">
        <v>44186</v>
      </c>
      <c r="C143" s="1" t="n">
        <v>45738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69240-2020</t>
        </is>
      </c>
      <c r="B144" s="1" t="n">
        <v>44192</v>
      </c>
      <c r="C144" s="1" t="n">
        <v>45738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3188-2021</t>
        </is>
      </c>
      <c r="B145" s="1" t="n">
        <v>44215</v>
      </c>
      <c r="C145" s="1" t="n">
        <v>45738</v>
      </c>
      <c r="D145" t="inlineStr">
        <is>
          <t>DALARNAS LÄN</t>
        </is>
      </c>
      <c r="E145" t="inlineStr">
        <is>
          <t>GAGNEF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8876-2021</t>
        </is>
      </c>
      <c r="B146" s="1" t="n">
        <v>44247</v>
      </c>
      <c r="C146" s="1" t="n">
        <v>45738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9833-2021</t>
        </is>
      </c>
      <c r="B147" s="1" t="n">
        <v>44253</v>
      </c>
      <c r="C147" s="1" t="n">
        <v>45738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11549-2021</t>
        </is>
      </c>
      <c r="B148" s="1" t="n">
        <v>44264</v>
      </c>
      <c r="C148" s="1" t="n">
        <v>45738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11539-2021</t>
        </is>
      </c>
      <c r="B149" s="1" t="n">
        <v>44264</v>
      </c>
      <c r="C149" s="1" t="n">
        <v>45738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11724-2021</t>
        </is>
      </c>
      <c r="B150" s="1" t="n">
        <v>44265</v>
      </c>
      <c r="C150" s="1" t="n">
        <v>45738</v>
      </c>
      <c r="D150" t="inlineStr">
        <is>
          <t>DALARNAS LÄN</t>
        </is>
      </c>
      <c r="E150" t="inlineStr">
        <is>
          <t>GAGNEF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11995-2021</t>
        </is>
      </c>
      <c r="B151" s="1" t="n">
        <v>44266</v>
      </c>
      <c r="C151" s="1" t="n">
        <v>45738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14276-2021</t>
        </is>
      </c>
      <c r="B152" s="1" t="n">
        <v>44278</v>
      </c>
      <c r="C152" s="1" t="n">
        <v>45738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15822-2021</t>
        </is>
      </c>
      <c r="B153" s="1" t="n">
        <v>44286</v>
      </c>
      <c r="C153" s="1" t="n">
        <v>45738</v>
      </c>
      <c r="D153" t="inlineStr">
        <is>
          <t>DALARNAS LÄN</t>
        </is>
      </c>
      <c r="E153" t="inlineStr">
        <is>
          <t>GAGNEF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21309-2021</t>
        </is>
      </c>
      <c r="B154" s="1" t="n">
        <v>44320</v>
      </c>
      <c r="C154" s="1" t="n">
        <v>45738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21456-2021</t>
        </is>
      </c>
      <c r="B155" s="1" t="n">
        <v>44321</v>
      </c>
      <c r="C155" s="1" t="n">
        <v>45738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45738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45738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45738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45738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45738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45738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45738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45738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45738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45738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45738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45738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45738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45738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45738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45738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45738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45738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45738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45738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45738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45738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45738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45738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45738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45738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45738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45738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45738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45738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45738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12741-2025</t>
        </is>
      </c>
      <c r="B581" s="1" t="n">
        <v>45733</v>
      </c>
      <c r="C581" s="1" t="n">
        <v>45738</v>
      </c>
      <c r="D581" t="inlineStr">
        <is>
          <t>DALARNAS LÄN</t>
        </is>
      </c>
      <c r="E581" t="inlineStr">
        <is>
          <t>GAGNEF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12816-2025</t>
        </is>
      </c>
      <c r="B582" s="1" t="n">
        <v>45733</v>
      </c>
      <c r="C582" s="1" t="n">
        <v>45738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13169-2025</t>
        </is>
      </c>
      <c r="B583" s="1" t="n">
        <v>45735</v>
      </c>
      <c r="C583" s="1" t="n">
        <v>45738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2025-03-22T16:19:47Z</dcterms:created>
  <dcterms:modified xmlns:dcterms="http://purl.org/dc/terms/" xmlns:xsi="http://www.w3.org/2001/XMLSchema-instance" xsi:type="dcterms:W3CDTF">2025-03-22T16:19:48Z</dcterms:modified>
</cp:coreProperties>
</file>