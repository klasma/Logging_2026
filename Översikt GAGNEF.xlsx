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46221</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46221</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46221</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46221</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46221</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46221</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46221</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HYPERLINK("https://klasma.github.io/Logging_2026/knärot/A 51268-2025 karta knärot.png", "A 51268-2025")</f>
        <v/>
      </c>
      <c r="Y8">
        <f>HYPERLINK("https://klasma.github.io/Logging_2026/klagomål/A 51268-2025 FSC-klagomål.docx", "A 51268-2025")</f>
        <v/>
      </c>
      <c r="Z8">
        <f>HYPERLINK("https://klasma.github.io/Logging_2026/klagomålsmail/A 51268-2025 FSC-klagomål mail.docx", "A 51268-2025")</f>
        <v/>
      </c>
      <c r="AA8">
        <f>HYPERLINK("https://klasma.github.io/Logging_2026/tillsyn/A 51268-2025 tillsynsbegäran.docx", "A 51268-2025")</f>
        <v/>
      </c>
      <c r="AB8">
        <f>HYPERLINK("https://klasma.github.io/Logging_2026/tillsynsmail/A 51268-2025 tillsynsbegäran mail.docx", "A 51268-2025")</f>
        <v/>
      </c>
      <c r="AC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46221</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HYPERLINK("https://klasma.github.io/Logging_2026/knärot/A 20728-2023 karta knärot.png", "A 20728-2023")</f>
        <v/>
      </c>
      <c r="Y9">
        <f>HYPERLINK("https://klasma.github.io/Logging_2026/klagomål/A 20728-2023 FSC-klagomål.docx", "A 20728-2023")</f>
        <v/>
      </c>
      <c r="Z9">
        <f>HYPERLINK("https://klasma.github.io/Logging_2026/klagomålsmail/A 20728-2023 FSC-klagomål mail.docx", "A 20728-2023")</f>
        <v/>
      </c>
      <c r="AA9">
        <f>HYPERLINK("https://klasma.github.io/Logging_2026/tillsyn/A 20728-2023 tillsynsbegäran.docx", "A 20728-2023")</f>
        <v/>
      </c>
      <c r="AB9">
        <f>HYPERLINK("https://klasma.github.io/Logging_2026/tillsynsmail/A 20728-2023 tillsynsbegäran mail.docx", "A 20728-2023")</f>
        <v/>
      </c>
      <c r="AC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Y10">
        <f>HYPERLINK("https://klasma.github.io/Logging_2026/klagomål/A 2493-2026 FSC-klagomål.docx", "A 2493-2026")</f>
        <v/>
      </c>
      <c r="Z10">
        <f>HYPERLINK("https://klasma.github.io/Logging_2026/klagomålsmail/A 2493-2026 FSC-klagomål mail.docx", "A 2493-2026")</f>
        <v/>
      </c>
      <c r="AA10">
        <f>HYPERLINK("https://klasma.github.io/Logging_2026/tillsyn/A 2493-2026 tillsynsbegäran.docx", "A 2493-2026")</f>
        <v/>
      </c>
      <c r="AB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s="2" t="inlineStr">
        <is>
          <t>Garnlav
Knärot
Rosenticka
Ullticka
Vedticka</t>
        </is>
      </c>
      <c r="V11">
        <f>HYPERLINK("https://klasma.github.io/Logging_2026/artfynd/A 14556-2026 artfynd.xlsx", "A 14556-2026")</f>
        <v/>
      </c>
      <c r="W11">
        <f>HYPERLINK("https://klasma.github.io/Logging_2026/kartor/A 14556-2026 karta.png", "A 14556-2026")</f>
        <v/>
      </c>
      <c r="X11">
        <f>HYPERLINK("https://klasma.github.io/Logging_2026/knärot/A 14556-2026 karta knärot.png", "A 14556-2026")</f>
        <v/>
      </c>
      <c r="Y11">
        <f>HYPERLINK("https://klasma.github.io/Logging_2026/klagomål/A 14556-2026 FSC-klagomål.docx", "A 14556-2026")</f>
        <v/>
      </c>
      <c r="Z11">
        <f>HYPERLINK("https://klasma.github.io/Logging_2026/klagomålsmail/A 14556-2026 FSC-klagomål mail.docx", "A 14556-2026")</f>
        <v/>
      </c>
      <c r="AA11">
        <f>HYPERLINK("https://klasma.github.io/Logging_2026/tillsyn/A 14556-2026 tillsynsbegäran.docx", "A 14556-2026")</f>
        <v/>
      </c>
      <c r="AB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43914-2024</t>
        </is>
      </c>
      <c r="B14" t="inlineStr">
        <is>
          <t>avverkningsanmälan</t>
        </is>
      </c>
      <c r="C14" t="inlineStr">
        <is>
          <t>Föryngringsavverkning</t>
        </is>
      </c>
      <c r="D14" s="1" t="n">
        <v>45572</v>
      </c>
      <c r="E14" s="1" t="n">
        <v>46221</v>
      </c>
      <c r="F14" t="inlineStr">
        <is>
          <t>DALARNAS LÄN</t>
        </is>
      </c>
      <c r="G14" t="inlineStr">
        <is>
          <t>GAGNEF</t>
        </is>
      </c>
      <c r="I14" t="n">
        <v>4</v>
      </c>
      <c r="J14" t="n">
        <v>2</v>
      </c>
      <c r="K14" t="n">
        <v>0</v>
      </c>
      <c r="L14" t="n">
        <v>1</v>
      </c>
      <c r="M14" t="n">
        <v>2</v>
      </c>
      <c r="N14" t="n">
        <v>0</v>
      </c>
      <c r="O14" t="n">
        <v>0</v>
      </c>
      <c r="P14" t="n">
        <v>0</v>
      </c>
      <c r="Q14" t="n">
        <v>3</v>
      </c>
      <c r="R14" t="n">
        <v>2</v>
      </c>
      <c r="S14" t="n">
        <v>3</v>
      </c>
      <c r="T14" t="n">
        <v>17</v>
      </c>
      <c r="U14" s="2" t="inlineStr">
        <is>
          <t>Garnlav
Knärot
Tretåig hackspett</t>
        </is>
      </c>
      <c r="V14">
        <f>HYPERLINK("https://klasma.github.io/Logging_2026/artfynd/A 43914-2024 artfynd.xlsx", "A 43914-2024")</f>
        <v/>
      </c>
      <c r="W14">
        <f>HYPERLINK("https://klasma.github.io/Logging_2026/kartor/A 43914-2024 karta.png", "A 43914-2024")</f>
        <v/>
      </c>
      <c r="X14">
        <f>HYPERLINK("https://klasma.github.io/Logging_2026/knärot/A 43914-2024 karta knärot.png", "A 43914-2024")</f>
        <v/>
      </c>
      <c r="Y14">
        <f>HYPERLINK("https://klasma.github.io/Logging_2026/klagomål/A 43914-2024 FSC-klagomål.docx", "A 43914-2024")</f>
        <v/>
      </c>
      <c r="Z14">
        <f>HYPERLINK("https://klasma.github.io/Logging_2026/klagomålsmail/A 43914-2024 FSC-klagomål mail.docx", "A 43914-2024")</f>
        <v/>
      </c>
      <c r="AA14">
        <f>HYPERLINK("https://klasma.github.io/Logging_2026/tillsyn/A 43914-2024 tillsynsbegäran.docx", "A 43914-2024")</f>
        <v/>
      </c>
      <c r="AB14">
        <f>HYPERLINK("https://klasma.github.io/Logging_2026/tillsynsmail/A 43914-2024 tillsynsbegäran mail.docx", "A 43914-2024")</f>
        <v/>
      </c>
      <c r="AC14">
        <f>HYPERLINK("https://klasma.github.io/Logging_2026/fåglar/A 43914-2024 prioriterade fågelarter.docx", "A 43914-2024")</f>
        <v/>
      </c>
    </row>
    <row r="15" ht="15" customHeight="1">
      <c r="A15" t="inlineStr">
        <is>
          <t>A 61787-2024</t>
        </is>
      </c>
      <c r="B15" t="inlineStr">
        <is>
          <t>avverkningsanmälan</t>
        </is>
      </c>
      <c r="C15" t="inlineStr">
        <is>
          <t>Föryngringsavverkning</t>
        </is>
      </c>
      <c r="D15" s="1" t="n">
        <v>45649</v>
      </c>
      <c r="E15" s="1" t="n">
        <v>46221</v>
      </c>
      <c r="F15" t="inlineStr">
        <is>
          <t>DALARNAS LÄN</t>
        </is>
      </c>
      <c r="G15" t="inlineStr">
        <is>
          <t>GAGNEF</t>
        </is>
      </c>
      <c r="I15" t="n">
        <v>1.6</v>
      </c>
      <c r="J15" t="n">
        <v>2</v>
      </c>
      <c r="K15" t="n">
        <v>0</v>
      </c>
      <c r="L15" t="n">
        <v>1</v>
      </c>
      <c r="M15" t="n">
        <v>0</v>
      </c>
      <c r="N15" t="n">
        <v>0</v>
      </c>
      <c r="O15" t="n">
        <v>0</v>
      </c>
      <c r="P15" t="n">
        <v>0</v>
      </c>
      <c r="Q15" t="n">
        <v>1</v>
      </c>
      <c r="R15" t="n">
        <v>0</v>
      </c>
      <c r="S15" t="n">
        <v>3</v>
      </c>
      <c r="T15" t="n">
        <v>3</v>
      </c>
      <c r="U15" s="2" t="inlineStr">
        <is>
          <t>Tallticka
Tjäder
Orre</t>
        </is>
      </c>
      <c r="V15">
        <f>HYPERLINK("https://klasma.github.io/Logging_2026/artfynd/A 61787-2024 artfynd.xlsx", "A 61787-2024")</f>
        <v/>
      </c>
      <c r="W15">
        <f>HYPERLINK("https://klasma.github.io/Logging_2026/kartor/A 61787-2024 karta.png", "A 61787-2024")</f>
        <v/>
      </c>
      <c r="Y15">
        <f>HYPERLINK("https://klasma.github.io/Logging_2026/klagomål/A 61787-2024 FSC-klagomål.docx", "A 61787-2024")</f>
        <v/>
      </c>
      <c r="Z15">
        <f>HYPERLINK("https://klasma.github.io/Logging_2026/klagomålsmail/A 61787-2024 FSC-klagomål mail.docx", "A 61787-2024")</f>
        <v/>
      </c>
      <c r="AA15">
        <f>HYPERLINK("https://klasma.github.io/Logging_2026/tillsyn/A 61787-2024 tillsynsbegäran.docx", "A 61787-2024")</f>
        <v/>
      </c>
      <c r="AB15">
        <f>HYPERLINK("https://klasma.github.io/Logging_2026/tillsynsmail/A 61787-2024 tillsynsbegäran mail.docx", "A 61787-2024")</f>
        <v/>
      </c>
      <c r="AC15">
        <f>HYPERLINK("https://klasma.github.io/Logging_2026/fåglar/A 61787-2024 prioriterade fågelarter.docx", "A 61787-2024")</f>
        <v/>
      </c>
    </row>
    <row r="16" ht="15" customHeight="1">
      <c r="A16" t="inlineStr">
        <is>
          <t>A 58427-2025</t>
        </is>
      </c>
      <c r="B16" t="inlineStr">
        <is>
          <t>avverkningsanmälan</t>
        </is>
      </c>
      <c r="C16" t="inlineStr">
        <is>
          <t>Föryngringsavverkning</t>
        </is>
      </c>
      <c r="D16" s="1" t="n">
        <v>45985</v>
      </c>
      <c r="E16" s="1" t="n">
        <v>46221</v>
      </c>
      <c r="F16" t="inlineStr">
        <is>
          <t>DALARNAS LÄN</t>
        </is>
      </c>
      <c r="G16" t="inlineStr">
        <is>
          <t>GAGNEF</t>
        </is>
      </c>
      <c r="I16" t="n">
        <v>1.6</v>
      </c>
      <c r="J16" t="n">
        <v>3</v>
      </c>
      <c r="K16" t="n">
        <v>0</v>
      </c>
      <c r="L16" t="n">
        <v>1</v>
      </c>
      <c r="M16" t="n">
        <v>1</v>
      </c>
      <c r="N16" t="n">
        <v>0</v>
      </c>
      <c r="O16" t="n">
        <v>0</v>
      </c>
      <c r="P16" t="n">
        <v>0</v>
      </c>
      <c r="Q16" t="n">
        <v>2</v>
      </c>
      <c r="R16" t="n">
        <v>1</v>
      </c>
      <c r="S16" t="n">
        <v>3</v>
      </c>
      <c r="T16" t="n">
        <v>5</v>
      </c>
      <c r="U16" s="2" t="inlineStr">
        <is>
          <t>Knärot
Tretåig hackspett
Tjäder</t>
        </is>
      </c>
      <c r="V16">
        <f>HYPERLINK("https://klasma.github.io/Logging_2026/artfynd/A 58427-2025 artfynd.xlsx", "A 58427-2025")</f>
        <v/>
      </c>
      <c r="W16">
        <f>HYPERLINK("https://klasma.github.io/Logging_2026/kartor/A 58427-2025 karta.png", "A 58427-2025")</f>
        <v/>
      </c>
      <c r="X16">
        <f>HYPERLINK("https://klasma.github.io/Logging_2026/knärot/A 58427-2025 karta knärot.png", "A 58427-2025")</f>
        <v/>
      </c>
      <c r="Y16">
        <f>HYPERLINK("https://klasma.github.io/Logging_2026/klagomål/A 58427-2025 FSC-klagomål.docx", "A 58427-2025")</f>
        <v/>
      </c>
      <c r="Z16">
        <f>HYPERLINK("https://klasma.github.io/Logging_2026/klagomålsmail/A 58427-2025 FSC-klagomål mail.docx", "A 58427-2025")</f>
        <v/>
      </c>
      <c r="AA16">
        <f>HYPERLINK("https://klasma.github.io/Logging_2026/tillsyn/A 58427-2025 tillsynsbegäran.docx", "A 58427-2025")</f>
        <v/>
      </c>
      <c r="AB16">
        <f>HYPERLINK("https://klasma.github.io/Logging_2026/tillsynsmail/A 58427-2025 tillsynsbegäran mail.docx", "A 58427-2025")</f>
        <v/>
      </c>
      <c r="AC16">
        <f>HYPERLINK("https://klasma.github.io/Logging_2026/fåglar/A 58427-2025 prioriterade fågelarter.docx", "A 58427-2025")</f>
        <v/>
      </c>
    </row>
    <row r="17" ht="15" customHeight="1">
      <c r="A17" t="inlineStr">
        <is>
          <t>A 44380-2025</t>
        </is>
      </c>
      <c r="B17" t="inlineStr">
        <is>
          <t>avverkningsanmälan</t>
        </is>
      </c>
      <c r="C17" t="inlineStr">
        <is>
          <t>Föryngringsavverkning</t>
        </is>
      </c>
      <c r="D17" s="1" t="n">
        <v>45916</v>
      </c>
      <c r="E17" s="1" t="n">
        <v>46221</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s="2" t="inlineStr">
        <is>
          <t>Lunglav
Skorpgelélav
Bårdlav</t>
        </is>
      </c>
      <c r="V17">
        <f>HYPERLINK("https://klasma.github.io/Logging_2026/artfynd/A 44380-2025 artfynd.xlsx", "A 44380-2025")</f>
        <v/>
      </c>
      <c r="W17">
        <f>HYPERLINK("https://klasma.github.io/Logging_2026/kartor/A 44380-2025 karta.png", "A 44380-2025")</f>
        <v/>
      </c>
      <c r="Y17">
        <f>HYPERLINK("https://klasma.github.io/Logging_2026/klagomål/A 44380-2025 FSC-klagomål.docx", "A 44380-2025")</f>
        <v/>
      </c>
      <c r="Z17">
        <f>HYPERLINK("https://klasma.github.io/Logging_2026/klagomålsmail/A 44380-2025 FSC-klagomål mail.docx", "A 44380-2025")</f>
        <v/>
      </c>
      <c r="AA17">
        <f>HYPERLINK("https://klasma.github.io/Logging_2026/tillsyn/A 44380-2025 tillsynsbegäran.docx", "A 44380-2025")</f>
        <v/>
      </c>
      <c r="AB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46221</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s="2" t="inlineStr">
        <is>
          <t>Garnlav
Knärot
Tretåig hackspett</t>
        </is>
      </c>
      <c r="V18">
        <f>HYPERLINK("https://klasma.github.io/Logging_2026/artfynd/A 42709-2024 artfynd.xlsx", "A 42709-2024")</f>
        <v/>
      </c>
      <c r="W18">
        <f>HYPERLINK("https://klasma.github.io/Logging_2026/kartor/A 42709-2024 karta.png", "A 42709-2024")</f>
        <v/>
      </c>
      <c r="X18">
        <f>HYPERLINK("https://klasma.github.io/Logging_2026/knärot/A 42709-2024 karta knärot.png", "A 42709-2024")</f>
        <v/>
      </c>
      <c r="Y18">
        <f>HYPERLINK("https://klasma.github.io/Logging_2026/klagomål/A 42709-2024 FSC-klagomål.docx", "A 42709-2024")</f>
        <v/>
      </c>
      <c r="Z18">
        <f>HYPERLINK("https://klasma.github.io/Logging_2026/klagomålsmail/A 42709-2024 FSC-klagomål mail.docx", "A 42709-2024")</f>
        <v/>
      </c>
      <c r="AA18">
        <f>HYPERLINK("https://klasma.github.io/Logging_2026/tillsyn/A 42709-2024 tillsynsbegäran.docx", "A 42709-2024")</f>
        <v/>
      </c>
      <c r="AB18">
        <f>HYPERLINK("https://klasma.github.io/Logging_2026/tillsynsmail/A 42709-2024 tillsynsbegäran mail.docx", "A 42709-2024")</f>
        <v/>
      </c>
      <c r="AC18">
        <f>HYPERLINK("https://klasma.github.io/Logging_2026/fåglar/A 42709-2024 prioriterade fågelarter.docx", "A 42709-2024")</f>
        <v/>
      </c>
    </row>
    <row r="19" ht="15" customHeight="1">
      <c r="A19" t="inlineStr">
        <is>
          <t>A 14015-2026</t>
        </is>
      </c>
      <c r="B19" t="inlineStr">
        <is>
          <t>avverkningsanmälan</t>
        </is>
      </c>
      <c r="C19" t="inlineStr">
        <is>
          <t>Föryngringsavverkning</t>
        </is>
      </c>
      <c r="D19" s="1" t="n">
        <v>46098</v>
      </c>
      <c r="E19" s="1" t="n">
        <v>46221</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s="2" t="inlineStr">
        <is>
          <t>Skrovlig taggsvamp
Dropptaggsvamp
Talltaggsvamp</t>
        </is>
      </c>
      <c r="V19">
        <f>HYPERLINK("https://klasma.github.io/Logging_2026/artfynd/A 14015-2026 artfynd.xlsx", "A 14015-2026")</f>
        <v/>
      </c>
      <c r="W19">
        <f>HYPERLINK("https://klasma.github.io/Logging_2026/kartor/A 14015-2026 karta.png", "A 14015-2026")</f>
        <v/>
      </c>
      <c r="Y19">
        <f>HYPERLINK("https://klasma.github.io/Logging_2026/klagomål/A 14015-2026 FSC-klagomål.docx", "A 14015-2026")</f>
        <v/>
      </c>
      <c r="Z19">
        <f>HYPERLINK("https://klasma.github.io/Logging_2026/klagomålsmail/A 14015-2026 FSC-klagomål mail.docx", "A 14015-2026")</f>
        <v/>
      </c>
      <c r="AA19">
        <f>HYPERLINK("https://klasma.github.io/Logging_2026/tillsyn/A 14015-2026 tillsynsbegäran.docx", "A 14015-2026")</f>
        <v/>
      </c>
      <c r="AB19">
        <f>HYPERLINK("https://klasma.github.io/Logging_2026/tillsynsmail/A 14015-2026 tillsynsbegäran mail.docx", "A 14015-2026")</f>
        <v/>
      </c>
    </row>
    <row r="20" ht="15" customHeight="1">
      <c r="A20" t="inlineStr">
        <is>
          <t>A 28591-2024</t>
        </is>
      </c>
      <c r="B20" t="inlineStr">
        <is>
          <t>avverkningsanmälan</t>
        </is>
      </c>
      <c r="C20" t="inlineStr">
        <is>
          <t>Föryngringsavverkning</t>
        </is>
      </c>
      <c r="D20" s="1" t="n">
        <v>45478</v>
      </c>
      <c r="E20" s="1" t="n">
        <v>46221</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s="2" t="inlineStr">
        <is>
          <t>Aspgelélav
Rosenticka
Nattviol</t>
        </is>
      </c>
      <c r="V20">
        <f>HYPERLINK("https://klasma.github.io/Logging_2026/artfynd/A 28591-2024 artfynd.xlsx", "A 28591-2024")</f>
        <v/>
      </c>
      <c r="W20">
        <f>HYPERLINK("https://klasma.github.io/Logging_2026/kartor/A 28591-2024 karta.png", "A 28591-2024")</f>
        <v/>
      </c>
      <c r="Y20">
        <f>HYPERLINK("https://klasma.github.io/Logging_2026/klagomål/A 28591-2024 FSC-klagomål.docx", "A 28591-2024")</f>
        <v/>
      </c>
      <c r="Z20">
        <f>HYPERLINK("https://klasma.github.io/Logging_2026/klagomålsmail/A 28591-2024 FSC-klagomål mail.docx", "A 28591-2024")</f>
        <v/>
      </c>
      <c r="AA20">
        <f>HYPERLINK("https://klasma.github.io/Logging_2026/tillsyn/A 28591-2024 tillsynsbegäran.docx", "A 28591-2024")</f>
        <v/>
      </c>
      <c r="AB20">
        <f>HYPERLINK("https://klasma.github.io/Logging_2026/tillsynsmail/A 28591-2024 tillsynsbegäran mail.docx", "A 28591-2024")</f>
        <v/>
      </c>
    </row>
    <row r="21" ht="15" customHeight="1">
      <c r="A21" t="inlineStr">
        <is>
          <t>A 47815-2024</t>
        </is>
      </c>
      <c r="B21" t="inlineStr">
        <is>
          <t>avverkningsanmälan</t>
        </is>
      </c>
      <c r="C21" t="inlineStr">
        <is>
          <t>Föryngringsavverkning</t>
        </is>
      </c>
      <c r="D21" s="1" t="n">
        <v>45588</v>
      </c>
      <c r="E21" s="1" t="n">
        <v>46221</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s="2" t="inlineStr">
        <is>
          <t>Tretåig hackspett
Bollvitmossa</t>
        </is>
      </c>
      <c r="V21">
        <f>HYPERLINK("https://klasma.github.io/Logging_2026/artfynd/A 47815-2024 artfynd.xlsx", "A 47815-2024")</f>
        <v/>
      </c>
      <c r="W21">
        <f>HYPERLINK("https://klasma.github.io/Logging_2026/kartor/A 47815-2024 karta.png", "A 47815-2024")</f>
        <v/>
      </c>
      <c r="Y21">
        <f>HYPERLINK("https://klasma.github.io/Logging_2026/klagomål/A 47815-2024 FSC-klagomål.docx", "A 47815-2024")</f>
        <v/>
      </c>
      <c r="Z21">
        <f>HYPERLINK("https://klasma.github.io/Logging_2026/klagomålsmail/A 47815-2024 FSC-klagomål mail.docx", "A 47815-2024")</f>
        <v/>
      </c>
      <c r="AA21">
        <f>HYPERLINK("https://klasma.github.io/Logging_2026/tillsyn/A 47815-2024 tillsynsbegäran.docx", "A 47815-2024")</f>
        <v/>
      </c>
      <c r="AB21">
        <f>HYPERLINK("https://klasma.github.io/Logging_2026/tillsynsmail/A 47815-2024 tillsynsbegäran mail.docx", "A 47815-2024")</f>
        <v/>
      </c>
      <c r="AC21">
        <f>HYPERLINK("https://klasma.github.io/Logging_2026/fåglar/A 47815-2024 prioriterade fågelarter.docx", "A 47815-2024")</f>
        <v/>
      </c>
    </row>
    <row r="22" ht="15" customHeight="1">
      <c r="A22" t="inlineStr">
        <is>
          <t>A 35464-2025</t>
        </is>
      </c>
      <c r="B22" t="inlineStr">
        <is>
          <t>avverkningsanmälan</t>
        </is>
      </c>
      <c r="C22" t="inlineStr">
        <is>
          <t>Föryngringsavverkning</t>
        </is>
      </c>
      <c r="D22" s="1" t="n">
        <v>45855</v>
      </c>
      <c r="E22" s="1" t="n">
        <v>46221</v>
      </c>
      <c r="F22" t="inlineStr">
        <is>
          <t>DALARNAS LÄN</t>
        </is>
      </c>
      <c r="G22" t="inlineStr">
        <is>
          <t>GAGNEF</t>
        </is>
      </c>
      <c r="I22" t="n">
        <v>2.7</v>
      </c>
      <c r="J22" t="n">
        <v>2</v>
      </c>
      <c r="K22" t="n">
        <v>0</v>
      </c>
      <c r="L22" t="n">
        <v>0</v>
      </c>
      <c r="M22" t="n">
        <v>1</v>
      </c>
      <c r="N22" t="n">
        <v>0</v>
      </c>
      <c r="O22" t="n">
        <v>0</v>
      </c>
      <c r="P22" t="n">
        <v>0</v>
      </c>
      <c r="Q22" t="n">
        <v>1</v>
      </c>
      <c r="R22" t="n">
        <v>1</v>
      </c>
      <c r="S22" t="n">
        <v>2</v>
      </c>
      <c r="T22" t="n">
        <v>8</v>
      </c>
      <c r="U22" s="2" t="inlineStr">
        <is>
          <t>Knärot
Järpe</t>
        </is>
      </c>
      <c r="V22">
        <f>HYPERLINK("https://klasma.github.io/Logging_2026/artfynd/A 35464-2025 artfynd.xlsx", "A 35464-2025")</f>
        <v/>
      </c>
      <c r="W22">
        <f>HYPERLINK("https://klasma.github.io/Logging_2026/kartor/A 35464-2025 karta.png", "A 35464-2025")</f>
        <v/>
      </c>
      <c r="X22">
        <f>HYPERLINK("https://klasma.github.io/Logging_2026/knärot/A 35464-2025 karta knärot.png", "A 35464-2025")</f>
        <v/>
      </c>
      <c r="Y22">
        <f>HYPERLINK("https://klasma.github.io/Logging_2026/klagomål/A 35464-2025 FSC-klagomål.docx", "A 35464-2025")</f>
        <v/>
      </c>
      <c r="Z22">
        <f>HYPERLINK("https://klasma.github.io/Logging_2026/klagomålsmail/A 35464-2025 FSC-klagomål mail.docx", "A 35464-2025")</f>
        <v/>
      </c>
      <c r="AA22">
        <f>HYPERLINK("https://klasma.github.io/Logging_2026/tillsyn/A 35464-2025 tillsynsbegäran.docx", "A 35464-2025")</f>
        <v/>
      </c>
      <c r="AB22">
        <f>HYPERLINK("https://klasma.github.io/Logging_2026/tillsynsmail/A 35464-2025 tillsynsbegäran mail.docx", "A 35464-2025")</f>
        <v/>
      </c>
      <c r="AC22">
        <f>HYPERLINK("https://klasma.github.io/Logging_2026/fåglar/A 35464-2025 prioriterade fågelarter.docx", "A 35464-2025")</f>
        <v/>
      </c>
    </row>
    <row r="23" ht="15" customHeight="1">
      <c r="A23" t="inlineStr">
        <is>
          <t>A 34418-2025</t>
        </is>
      </c>
      <c r="B23" t="inlineStr">
        <is>
          <t>avverkningsanmälan</t>
        </is>
      </c>
      <c r="C23" t="inlineStr">
        <is>
          <t>Föryngringsavverkning</t>
        </is>
      </c>
      <c r="D23" s="1" t="n">
        <v>45846</v>
      </c>
      <c r="E23" s="1" t="n">
        <v>46221</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s="2" t="inlineStr">
        <is>
          <t>Mörk kolflarnlav
Stuplav</t>
        </is>
      </c>
      <c r="V23">
        <f>HYPERLINK("https://klasma.github.io/Logging_2026/artfynd/A 34418-2025 artfynd.xlsx", "A 34418-2025")</f>
        <v/>
      </c>
      <c r="W23">
        <f>HYPERLINK("https://klasma.github.io/Logging_2026/kartor/A 34418-2025 karta.png", "A 34418-2025")</f>
        <v/>
      </c>
      <c r="Y23">
        <f>HYPERLINK("https://klasma.github.io/Logging_2026/klagomål/A 34418-2025 FSC-klagomål.docx", "A 34418-2025")</f>
        <v/>
      </c>
      <c r="Z23">
        <f>HYPERLINK("https://klasma.github.io/Logging_2026/klagomålsmail/A 34418-2025 FSC-klagomål mail.docx", "A 34418-2025")</f>
        <v/>
      </c>
      <c r="AA23">
        <f>HYPERLINK("https://klasma.github.io/Logging_2026/tillsyn/A 34418-2025 tillsynsbegäran.docx", "A 34418-2025")</f>
        <v/>
      </c>
      <c r="AB23">
        <f>HYPERLINK("https://klasma.github.io/Logging_2026/tillsynsmail/A 34418-2025 tillsynsbegäran mail.docx", "A 34418-2025")</f>
        <v/>
      </c>
    </row>
    <row r="24" ht="15" customHeight="1">
      <c r="A24" t="inlineStr">
        <is>
          <t>A 4421-2026</t>
        </is>
      </c>
      <c r="B24" t="inlineStr">
        <is>
          <t>avverkningsanmälan</t>
        </is>
      </c>
      <c r="C24" t="inlineStr">
        <is>
          <t>Föryngringsavverkning</t>
        </is>
      </c>
      <c r="D24" s="1" t="n">
        <v>46045</v>
      </c>
      <c r="E24" s="1" t="n">
        <v>46221</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s="2" t="inlineStr">
        <is>
          <t>Rosenticka
Ullticka</t>
        </is>
      </c>
      <c r="V24">
        <f>HYPERLINK("https://klasma.github.io/Logging_2026/artfynd/A 4421-2026 artfynd.xlsx", "A 4421-2026")</f>
        <v/>
      </c>
      <c r="W24">
        <f>HYPERLINK("https://klasma.github.io/Logging_2026/kartor/A 4421-2026 karta.png", "A 4421-2026")</f>
        <v/>
      </c>
      <c r="Y24">
        <f>HYPERLINK("https://klasma.github.io/Logging_2026/klagomål/A 4421-2026 FSC-klagomål.docx", "A 4421-2026")</f>
        <v/>
      </c>
      <c r="Z24">
        <f>HYPERLINK("https://klasma.github.io/Logging_2026/klagomålsmail/A 4421-2026 FSC-klagomål mail.docx", "A 4421-2026")</f>
        <v/>
      </c>
      <c r="AA24">
        <f>HYPERLINK("https://klasma.github.io/Logging_2026/tillsyn/A 4421-2026 tillsynsbegäran.docx", "A 4421-2026")</f>
        <v/>
      </c>
      <c r="AB24">
        <f>HYPERLINK("https://klasma.github.io/Logging_2026/tillsynsmail/A 4421-2026 tillsynsbegäran mail.docx", "A 4421-2026")</f>
        <v/>
      </c>
    </row>
    <row r="25" ht="15" customHeight="1">
      <c r="A25" t="inlineStr">
        <is>
          <t>A 13950-2026</t>
        </is>
      </c>
      <c r="B25" t="inlineStr">
        <is>
          <t>avverkningsanmälan</t>
        </is>
      </c>
      <c r="C25" t="inlineStr">
        <is>
          <t>Föryngringsavverkning</t>
        </is>
      </c>
      <c r="D25" s="1" t="n">
        <v>46098</v>
      </c>
      <c r="E25" s="1" t="n">
        <v>46221</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s="2" t="inlineStr">
        <is>
          <t>Mindre vattensalamander
Vanlig groda</t>
        </is>
      </c>
      <c r="V25">
        <f>HYPERLINK("https://klasma.github.io/Logging_2026/artfynd/A 13950-2026 artfynd.xlsx", "A 13950-2026")</f>
        <v/>
      </c>
      <c r="W25">
        <f>HYPERLINK("https://klasma.github.io/Logging_2026/kartor/A 13950-2026 karta.png", "A 13950-2026")</f>
        <v/>
      </c>
      <c r="Y25">
        <f>HYPERLINK("https://klasma.github.io/Logging_2026/klagomål/A 13950-2026 FSC-klagomål.docx", "A 13950-2026")</f>
        <v/>
      </c>
      <c r="Z25">
        <f>HYPERLINK("https://klasma.github.io/Logging_2026/klagomålsmail/A 13950-2026 FSC-klagomål mail.docx", "A 13950-2026")</f>
        <v/>
      </c>
      <c r="AA25">
        <f>HYPERLINK("https://klasma.github.io/Logging_2026/tillsyn/A 13950-2026 tillsynsbegäran.docx", "A 13950-2026")</f>
        <v/>
      </c>
      <c r="AB25">
        <f>HYPERLINK("https://klasma.github.io/Logging_2026/tillsynsmail/A 13950-2026 tillsynsbegäran mail.docx", "A 13950-2026")</f>
        <v/>
      </c>
    </row>
    <row r="26" ht="15" customHeight="1">
      <c r="A26" t="inlineStr">
        <is>
          <t>A 63654-2023</t>
        </is>
      </c>
      <c r="B26" t="inlineStr">
        <is>
          <t>avverkningsanmälan</t>
        </is>
      </c>
      <c r="C26" t="inlineStr">
        <is>
          <t>Föryngringsavverkning</t>
        </is>
      </c>
      <c r="D26" s="1" t="n">
        <v>45275</v>
      </c>
      <c r="E26" s="1" t="n">
        <v>46221</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s="2" t="inlineStr">
        <is>
          <t>Garnlav
Trådticka</t>
        </is>
      </c>
      <c r="V26">
        <f>HYPERLINK("https://klasma.github.io/Logging_2026/artfynd/A 63654-2023 artfynd.xlsx", "A 63654-2023")</f>
        <v/>
      </c>
      <c r="W26">
        <f>HYPERLINK("https://klasma.github.io/Logging_2026/kartor/A 63654-2023 karta.png", "A 63654-2023")</f>
        <v/>
      </c>
      <c r="Y26">
        <f>HYPERLINK("https://klasma.github.io/Logging_2026/klagomål/A 63654-2023 FSC-klagomål.docx", "A 63654-2023")</f>
        <v/>
      </c>
      <c r="Z26">
        <f>HYPERLINK("https://klasma.github.io/Logging_2026/klagomålsmail/A 63654-2023 FSC-klagomål mail.docx", "A 63654-2023")</f>
        <v/>
      </c>
      <c r="AA26">
        <f>HYPERLINK("https://klasma.github.io/Logging_2026/tillsyn/A 63654-2023 tillsynsbegäran.docx", "A 63654-2023")</f>
        <v/>
      </c>
      <c r="AB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46221</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s="2" t="inlineStr">
        <is>
          <t>Backnopping
Blodvaxing</t>
        </is>
      </c>
      <c r="V27">
        <f>HYPERLINK("https://klasma.github.io/Logging_2026/artfynd/A 16480-2026 artfynd.xlsx", "A 16480-2026")</f>
        <v/>
      </c>
      <c r="W27">
        <f>HYPERLINK("https://klasma.github.io/Logging_2026/kartor/A 16480-2026 karta.png", "A 16480-2026")</f>
        <v/>
      </c>
      <c r="Y27">
        <f>HYPERLINK("https://klasma.github.io/Logging_2026/klagomål/A 16480-2026 FSC-klagomål.docx", "A 16480-2026")</f>
        <v/>
      </c>
      <c r="Z27">
        <f>HYPERLINK("https://klasma.github.io/Logging_2026/klagomålsmail/A 16480-2026 FSC-klagomål mail.docx", "A 16480-2026")</f>
        <v/>
      </c>
      <c r="AA27">
        <f>HYPERLINK("https://klasma.github.io/Logging_2026/tillsyn/A 16480-2026 tillsynsbegäran.docx", "A 16480-2026")</f>
        <v/>
      </c>
      <c r="AB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46221</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s="2" t="inlineStr">
        <is>
          <t>Rynkskinn
Ullticka</t>
        </is>
      </c>
      <c r="V28">
        <f>HYPERLINK("https://klasma.github.io/Logging_2026/artfynd/A 3125-2026 artfynd.xlsx", "A 3125-2026")</f>
        <v/>
      </c>
      <c r="W28">
        <f>HYPERLINK("https://klasma.github.io/Logging_2026/kartor/A 3125-2026 karta.png", "A 3125-2026")</f>
        <v/>
      </c>
      <c r="Y28">
        <f>HYPERLINK("https://klasma.github.io/Logging_2026/klagomål/A 3125-2026 FSC-klagomål.docx", "A 3125-2026")</f>
        <v/>
      </c>
      <c r="Z28">
        <f>HYPERLINK("https://klasma.github.io/Logging_2026/klagomålsmail/A 3125-2026 FSC-klagomål mail.docx", "A 3125-2026")</f>
        <v/>
      </c>
      <c r="AA28">
        <f>HYPERLINK("https://klasma.github.io/Logging_2026/tillsyn/A 3125-2026 tillsynsbegäran.docx", "A 3125-2026")</f>
        <v/>
      </c>
      <c r="AB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46221</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s="2" t="inlineStr">
        <is>
          <t>Mattlummer
Spillkråka</t>
        </is>
      </c>
      <c r="V29">
        <f>HYPERLINK("https://klasma.github.io/Logging_2026/artfynd/A 21887-2026 artfynd.xlsx", "A 21887-2026")</f>
        <v/>
      </c>
      <c r="W29">
        <f>HYPERLINK("https://klasma.github.io/Logging_2026/kartor/A 21887-2026 karta.png", "A 21887-2026")</f>
        <v/>
      </c>
      <c r="Y29">
        <f>HYPERLINK("https://klasma.github.io/Logging_2026/klagomål/A 21887-2026 FSC-klagomål.docx", "A 21887-2026")</f>
        <v/>
      </c>
      <c r="Z29">
        <f>HYPERLINK("https://klasma.github.io/Logging_2026/klagomålsmail/A 21887-2026 FSC-klagomål mail.docx", "A 21887-2026")</f>
        <v/>
      </c>
      <c r="AA29">
        <f>HYPERLINK("https://klasma.github.io/Logging_2026/tillsyn/A 21887-2026 tillsynsbegäran.docx", "A 21887-2026")</f>
        <v/>
      </c>
      <c r="AB29">
        <f>HYPERLINK("https://klasma.github.io/Logging_2026/tillsynsmail/A 21887-2026 tillsynsbegäran mail.docx", "A 21887-2026")</f>
        <v/>
      </c>
      <c r="AC29">
        <f>HYPERLINK("https://klasma.github.io/Logging_2026/fåglar/A 21887-2026 prioriterade fågelarter.docx", "A 21887-2026")</f>
        <v/>
      </c>
    </row>
    <row r="30" ht="15" customHeight="1">
      <c r="A30" t="inlineStr">
        <is>
          <t>A 52436-2024</t>
        </is>
      </c>
      <c r="B30" t="inlineStr">
        <is>
          <t>avverkningsanmälan</t>
        </is>
      </c>
      <c r="C30" t="inlineStr">
        <is>
          <t>Föryngringsavverkning</t>
        </is>
      </c>
      <c r="D30" s="1" t="n">
        <v>45608</v>
      </c>
      <c r="E30" s="1" t="n">
        <v>46221</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s="2" t="inlineStr">
        <is>
          <t>Skrovlig taggsvamp
Dropptaggsvamp</t>
        </is>
      </c>
      <c r="V30">
        <f>HYPERLINK("https://klasma.github.io/Logging_2026/artfynd/A 52436-2024 artfynd.xlsx", "A 52436-2024")</f>
        <v/>
      </c>
      <c r="W30">
        <f>HYPERLINK("https://klasma.github.io/Logging_2026/kartor/A 52436-2024 karta.png", "A 52436-2024")</f>
        <v/>
      </c>
      <c r="Y30">
        <f>HYPERLINK("https://klasma.github.io/Logging_2026/klagomål/A 52436-2024 FSC-klagomål.docx", "A 52436-2024")</f>
        <v/>
      </c>
      <c r="Z30">
        <f>HYPERLINK("https://klasma.github.io/Logging_2026/klagomålsmail/A 52436-2024 FSC-klagomål mail.docx", "A 52436-2024")</f>
        <v/>
      </c>
      <c r="AA30">
        <f>HYPERLINK("https://klasma.github.io/Logging_2026/tillsyn/A 52436-2024 tillsynsbegäran.docx", "A 52436-2024")</f>
        <v/>
      </c>
      <c r="AB30">
        <f>HYPERLINK("https://klasma.github.io/Logging_2026/tillsynsmail/A 52436-2024 tillsynsbegäran mail.docx", "A 52436-2024")</f>
        <v/>
      </c>
    </row>
    <row r="31" ht="15" customHeight="1">
      <c r="A31" t="inlineStr">
        <is>
          <t>S 2400-2023</t>
        </is>
      </c>
      <c r="B31" t="inlineStr">
        <is>
          <t>samrådsanmälan</t>
        </is>
      </c>
      <c r="C31" t="inlineStr">
        <is>
          <t>Annan skogsbruksåtgärd</t>
        </is>
      </c>
      <c r="D31" s="1" t="n">
        <v>45112</v>
      </c>
      <c r="E31" s="1" t="n">
        <v>46221</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46221</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28550-2024</t>
        </is>
      </c>
      <c r="B33" t="inlineStr">
        <is>
          <t>avverkningsanmälan</t>
        </is>
      </c>
      <c r="C33" t="inlineStr">
        <is>
          <t>Föryngringsavverkning</t>
        </is>
      </c>
      <c r="D33" s="1" t="n">
        <v>45478</v>
      </c>
      <c r="E33" s="1" t="n">
        <v>46221</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s="2" t="inlineStr">
        <is>
          <t>Citronporing</t>
        </is>
      </c>
      <c r="V33">
        <f>HYPERLINK("https://klasma.github.io/Logging_2026/artfynd/A 28550-2024 artfynd.xlsx", "A 28550-2024")</f>
        <v/>
      </c>
      <c r="W33">
        <f>HYPERLINK("https://klasma.github.io/Logging_2026/kartor/A 28550-2024 karta.png", "A 28550-2024")</f>
        <v/>
      </c>
      <c r="Y33">
        <f>HYPERLINK("https://klasma.github.io/Logging_2026/klagomål/A 28550-2024 FSC-klagomål.docx", "A 28550-2024")</f>
        <v/>
      </c>
      <c r="Z33">
        <f>HYPERLINK("https://klasma.github.io/Logging_2026/klagomålsmail/A 28550-2024 FSC-klagomål mail.docx", "A 28550-2024")</f>
        <v/>
      </c>
      <c r="AA33">
        <f>HYPERLINK("https://klasma.github.io/Logging_2026/tillsyn/A 28550-2024 tillsynsbegäran.docx", "A 28550-2024")</f>
        <v/>
      </c>
      <c r="AB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46221</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s="2" t="inlineStr">
        <is>
          <t>Grönhjon</t>
        </is>
      </c>
      <c r="V34">
        <f>HYPERLINK("https://klasma.github.io/Logging_2026/artfynd/A 64510-2021 artfynd.xlsx", "A 64510-2021")</f>
        <v/>
      </c>
      <c r="W34">
        <f>HYPERLINK("https://klasma.github.io/Logging_2026/kartor/A 64510-2021 karta.png", "A 64510-2021")</f>
        <v/>
      </c>
      <c r="Y34">
        <f>HYPERLINK("https://klasma.github.io/Logging_2026/klagomål/A 64510-2021 FSC-klagomål.docx", "A 64510-2021")</f>
        <v/>
      </c>
      <c r="Z34">
        <f>HYPERLINK("https://klasma.github.io/Logging_2026/klagomålsmail/A 64510-2021 FSC-klagomål mail.docx", "A 64510-2021")</f>
        <v/>
      </c>
      <c r="AA34">
        <f>HYPERLINK("https://klasma.github.io/Logging_2026/tillsyn/A 64510-2021 tillsynsbegäran.docx", "A 64510-2021")</f>
        <v/>
      </c>
      <c r="AB34">
        <f>HYPERLINK("https://klasma.github.io/Logging_2026/tillsynsmail/A 64510-2021 tillsynsbegäran mail.docx", "A 64510-2021")</f>
        <v/>
      </c>
    </row>
    <row r="35" ht="15" customHeight="1">
      <c r="A35" t="inlineStr">
        <is>
          <t>A 33102-2025</t>
        </is>
      </c>
      <c r="B35" t="inlineStr">
        <is>
          <t>avverkningsanmälan</t>
        </is>
      </c>
      <c r="C35" t="inlineStr">
        <is>
          <t>Föryngringsavverkning</t>
        </is>
      </c>
      <c r="D35" s="1" t="n">
        <v>45840</v>
      </c>
      <c r="E35" s="1" t="n">
        <v>46221</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s="2" t="inlineStr">
        <is>
          <t>Bollvitmossa</t>
        </is>
      </c>
      <c r="V35">
        <f>HYPERLINK("https://klasma.github.io/Logging_2026/artfynd/A 33102-2025 artfynd.xlsx", "A 33102-2025")</f>
        <v/>
      </c>
      <c r="W35">
        <f>HYPERLINK("https://klasma.github.io/Logging_2026/kartor/A 33102-2025 karta.png", "A 33102-2025")</f>
        <v/>
      </c>
      <c r="Y35">
        <f>HYPERLINK("https://klasma.github.io/Logging_2026/klagomål/A 33102-2025 FSC-klagomål.docx", "A 33102-2025")</f>
        <v/>
      </c>
      <c r="Z35">
        <f>HYPERLINK("https://klasma.github.io/Logging_2026/klagomålsmail/A 33102-2025 FSC-klagomål mail.docx", "A 33102-2025")</f>
        <v/>
      </c>
      <c r="AA35">
        <f>HYPERLINK("https://klasma.github.io/Logging_2026/tillsyn/A 33102-2025 tillsynsbegäran.docx", "A 33102-2025")</f>
        <v/>
      </c>
      <c r="AB35">
        <f>HYPERLINK("https://klasma.github.io/Logging_2026/tillsynsmail/A 33102-2025 tillsynsbegäran mail.docx", "A 33102-2025")</f>
        <v/>
      </c>
    </row>
    <row r="36" ht="15" customHeight="1">
      <c r="A36" t="inlineStr">
        <is>
          <t>A 4238-2026</t>
        </is>
      </c>
      <c r="B36" t="inlineStr">
        <is>
          <t>avverkningsanmälan</t>
        </is>
      </c>
      <c r="C36" t="inlineStr">
        <is>
          <t>Föryngringsavverkning</t>
        </is>
      </c>
      <c r="D36" s="1" t="n">
        <v>46044</v>
      </c>
      <c r="E36" s="1" t="n">
        <v>46221</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s="2" t="inlineStr">
        <is>
          <t>Tretåig hackspett</t>
        </is>
      </c>
      <c r="V36">
        <f>HYPERLINK("https://klasma.github.io/Logging_2026/artfynd/A 4238-2026 artfynd.xlsx", "A 4238-2026")</f>
        <v/>
      </c>
      <c r="W36">
        <f>HYPERLINK("https://klasma.github.io/Logging_2026/kartor/A 4238-2026 karta.png", "A 4238-2026")</f>
        <v/>
      </c>
      <c r="Y36">
        <f>HYPERLINK("https://klasma.github.io/Logging_2026/klagomål/A 4238-2026 FSC-klagomål.docx", "A 4238-2026")</f>
        <v/>
      </c>
      <c r="Z36">
        <f>HYPERLINK("https://klasma.github.io/Logging_2026/klagomålsmail/A 4238-2026 FSC-klagomål mail.docx", "A 4238-2026")</f>
        <v/>
      </c>
      <c r="AA36">
        <f>HYPERLINK("https://klasma.github.io/Logging_2026/tillsyn/A 4238-2026 tillsynsbegäran.docx", "A 4238-2026")</f>
        <v/>
      </c>
      <c r="AB36">
        <f>HYPERLINK("https://klasma.github.io/Logging_2026/tillsynsmail/A 4238-2026 tillsynsbegäran mail.docx", "A 4238-2026")</f>
        <v/>
      </c>
      <c r="AC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46221</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s="2" t="inlineStr">
        <is>
          <t>Tallticka</t>
        </is>
      </c>
      <c r="V37">
        <f>HYPERLINK("https://klasma.github.io/Logging_2026/artfynd/A 2943-2026 artfynd.xlsx", "A 2943-2026")</f>
        <v/>
      </c>
      <c r="W37">
        <f>HYPERLINK("https://klasma.github.io/Logging_2026/kartor/A 2943-2026 karta.png", "A 2943-2026")</f>
        <v/>
      </c>
      <c r="Y37">
        <f>HYPERLINK("https://klasma.github.io/Logging_2026/klagomål/A 2943-2026 FSC-klagomål.docx", "A 2943-2026")</f>
        <v/>
      </c>
      <c r="Z37">
        <f>HYPERLINK("https://klasma.github.io/Logging_2026/klagomålsmail/A 2943-2026 FSC-klagomål mail.docx", "A 2943-2026")</f>
        <v/>
      </c>
      <c r="AA37">
        <f>HYPERLINK("https://klasma.github.io/Logging_2026/tillsyn/A 2943-2026 tillsynsbegäran.docx", "A 2943-2026")</f>
        <v/>
      </c>
      <c r="AB37">
        <f>HYPERLINK("https://klasma.github.io/Logging_2026/tillsynsmail/A 2943-2026 tillsynsbegäran mail.docx", "A 2943-2026")</f>
        <v/>
      </c>
    </row>
    <row r="38" ht="15" customHeight="1">
      <c r="A38" t="inlineStr">
        <is>
          <t>A 11285-2025</t>
        </is>
      </c>
      <c r="B38" t="inlineStr">
        <is>
          <t>avverkningsanmälan</t>
        </is>
      </c>
      <c r="C38" t="inlineStr">
        <is>
          <t>Föryngringsavverkning</t>
        </is>
      </c>
      <c r="D38" s="1" t="n">
        <v>45726</v>
      </c>
      <c r="E38" s="1" t="n">
        <v>46221</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s="2" t="inlineStr">
        <is>
          <t>Fläcknycklar</t>
        </is>
      </c>
      <c r="V38">
        <f>HYPERLINK("https://klasma.github.io/Logging_2026/artfynd/A 11285-2025 artfynd.xlsx", "A 11285-2025")</f>
        <v/>
      </c>
      <c r="W38">
        <f>HYPERLINK("https://klasma.github.io/Logging_2026/kartor/A 11285-2025 karta.png", "A 11285-2025")</f>
        <v/>
      </c>
      <c r="Y38">
        <f>HYPERLINK("https://klasma.github.io/Logging_2026/klagomål/A 11285-2025 FSC-klagomål.docx", "A 11285-2025")</f>
        <v/>
      </c>
      <c r="Z38">
        <f>HYPERLINK("https://klasma.github.io/Logging_2026/klagomålsmail/A 11285-2025 FSC-klagomål mail.docx", "A 11285-2025")</f>
        <v/>
      </c>
      <c r="AA38">
        <f>HYPERLINK("https://klasma.github.io/Logging_2026/tillsyn/A 11285-2025 tillsynsbegäran.docx", "A 11285-2025")</f>
        <v/>
      </c>
      <c r="AB38">
        <f>HYPERLINK("https://klasma.github.io/Logging_2026/tillsynsmail/A 11285-2025 tillsynsbegäran mail.docx", "A 11285-2025")</f>
        <v/>
      </c>
    </row>
    <row r="39" ht="15" customHeight="1">
      <c r="A39" t="inlineStr">
        <is>
          <t>A 1432-2026</t>
        </is>
      </c>
      <c r="B39" t="inlineStr">
        <is>
          <t>avverkningsanmälan</t>
        </is>
      </c>
      <c r="C39" t="inlineStr">
        <is>
          <t>Föryngringsavverkning</t>
        </is>
      </c>
      <c r="D39" s="1" t="n">
        <v>46032</v>
      </c>
      <c r="E39" s="1" t="n">
        <v>46221</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s="2" t="inlineStr">
        <is>
          <t>Rosenticka</t>
        </is>
      </c>
      <c r="V39">
        <f>HYPERLINK("https://klasma.github.io/Logging_2026/artfynd/A 1432-2026 artfynd.xlsx", "A 1432-2026")</f>
        <v/>
      </c>
      <c r="W39">
        <f>HYPERLINK("https://klasma.github.io/Logging_2026/kartor/A 1432-2026 karta.png", "A 1432-2026")</f>
        <v/>
      </c>
      <c r="Y39">
        <f>HYPERLINK("https://klasma.github.io/Logging_2026/klagomål/A 1432-2026 FSC-klagomål.docx", "A 1432-2026")</f>
        <v/>
      </c>
      <c r="Z39">
        <f>HYPERLINK("https://klasma.github.io/Logging_2026/klagomålsmail/A 1432-2026 FSC-klagomål mail.docx", "A 1432-2026")</f>
        <v/>
      </c>
      <c r="AA39">
        <f>HYPERLINK("https://klasma.github.io/Logging_2026/tillsyn/A 1432-2026 tillsynsbegäran.docx", "A 1432-2026")</f>
        <v/>
      </c>
      <c r="AB39">
        <f>HYPERLINK("https://klasma.github.io/Logging_2026/tillsynsmail/A 1432-2026 tillsynsbegäran mail.docx", "A 1432-2026")</f>
        <v/>
      </c>
    </row>
    <row r="40" ht="15" customHeight="1">
      <c r="A40" t="inlineStr">
        <is>
          <t>A 15943-2026</t>
        </is>
      </c>
      <c r="B40" t="inlineStr">
        <is>
          <t>avverkningsanmälan</t>
        </is>
      </c>
      <c r="C40" t="inlineStr">
        <is>
          <t>Föryngringsavverkning</t>
        </is>
      </c>
      <c r="D40" s="1" t="n">
        <v>46107</v>
      </c>
      <c r="E40" s="1" t="n">
        <v>46221</v>
      </c>
      <c r="F40" t="inlineStr">
        <is>
          <t>DALARNAS LÄN</t>
        </is>
      </c>
      <c r="G40" t="inlineStr">
        <is>
          <t>GAGNEF</t>
        </is>
      </c>
      <c r="I40" t="n">
        <v>1.1</v>
      </c>
      <c r="J40" t="n">
        <v>1</v>
      </c>
      <c r="K40" t="n">
        <v>0</v>
      </c>
      <c r="L40" t="n">
        <v>0</v>
      </c>
      <c r="M40" t="n">
        <v>0</v>
      </c>
      <c r="N40" t="n">
        <v>0</v>
      </c>
      <c r="O40" t="n">
        <v>0</v>
      </c>
      <c r="P40" t="n">
        <v>0</v>
      </c>
      <c r="Q40" t="n">
        <v>0</v>
      </c>
      <c r="R40" t="n">
        <v>0</v>
      </c>
      <c r="S40" t="n">
        <v>1</v>
      </c>
      <c r="T40" t="n">
        <v>1</v>
      </c>
      <c r="U40" s="2" t="inlineStr">
        <is>
          <t>Havsörn</t>
        </is>
      </c>
      <c r="V40">
        <f>HYPERLINK("https://klasma.github.io/Logging_2026/artfynd/A 15943-2026 artfynd.xlsx", "A 15943-2026")</f>
        <v/>
      </c>
      <c r="W40">
        <f>HYPERLINK("https://klasma.github.io/Logging_2026/kartor/A 15943-2026 karta.png", "A 15943-2026")</f>
        <v/>
      </c>
      <c r="Y40">
        <f>HYPERLINK("https://klasma.github.io/Logging_2026/klagomål/A 15943-2026 FSC-klagomål.docx", "A 15943-2026")</f>
        <v/>
      </c>
      <c r="Z40">
        <f>HYPERLINK("https://klasma.github.io/Logging_2026/klagomålsmail/A 15943-2026 FSC-klagomål mail.docx", "A 15943-2026")</f>
        <v/>
      </c>
      <c r="AA40">
        <f>HYPERLINK("https://klasma.github.io/Logging_2026/tillsyn/A 15943-2026 tillsynsbegäran.docx", "A 15943-2026")</f>
        <v/>
      </c>
      <c r="AB40">
        <f>HYPERLINK("https://klasma.github.io/Logging_2026/tillsynsmail/A 15943-2026 tillsynsbegäran mail.docx", "A 15943-2026")</f>
        <v/>
      </c>
      <c r="AC40">
        <f>HYPERLINK("https://klasma.github.io/Logging_2026/fåglar/A 15943-2026 prioriterade fågelarter.docx", "A 15943-2026")</f>
        <v/>
      </c>
    </row>
    <row r="41" ht="15" customHeight="1">
      <c r="A41" t="inlineStr">
        <is>
          <t>A 17730-2026</t>
        </is>
      </c>
      <c r="B41" t="inlineStr">
        <is>
          <t>avverkningsanmälan</t>
        </is>
      </c>
      <c r="C41" t="inlineStr">
        <is>
          <t>Föryngringsavverkning</t>
        </is>
      </c>
      <c r="D41" s="1" t="n">
        <v>46121</v>
      </c>
      <c r="E41" s="1" t="n">
        <v>46221</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s="2" t="inlineStr">
        <is>
          <t>Revlummer</t>
        </is>
      </c>
      <c r="V41">
        <f>HYPERLINK("https://klasma.github.io/Logging_2026/artfynd/A 17730-2026 artfynd.xlsx", "A 17730-2026")</f>
        <v/>
      </c>
      <c r="W41">
        <f>HYPERLINK("https://klasma.github.io/Logging_2026/kartor/A 17730-2026 karta.png", "A 17730-2026")</f>
        <v/>
      </c>
      <c r="Y41">
        <f>HYPERLINK("https://klasma.github.io/Logging_2026/klagomål/A 17730-2026 FSC-klagomål.docx", "A 17730-2026")</f>
        <v/>
      </c>
      <c r="Z41">
        <f>HYPERLINK("https://klasma.github.io/Logging_2026/klagomålsmail/A 17730-2026 FSC-klagomål mail.docx", "A 17730-2026")</f>
        <v/>
      </c>
      <c r="AA41">
        <f>HYPERLINK("https://klasma.github.io/Logging_2026/tillsyn/A 17730-2026 tillsynsbegäran.docx", "A 17730-2026")</f>
        <v/>
      </c>
      <c r="AB41">
        <f>HYPERLINK("https://klasma.github.io/Logging_2026/tillsynsmail/A 17730-2026 tillsynsbegäran mail.docx", "A 17730-2026")</f>
        <v/>
      </c>
    </row>
    <row r="42" ht="15" customHeight="1">
      <c r="A42" t="inlineStr">
        <is>
          <t>A 48805-2024</t>
        </is>
      </c>
      <c r="B42" t="inlineStr">
        <is>
          <t>avverkningsanmälan</t>
        </is>
      </c>
      <c r="C42" t="inlineStr">
        <is>
          <t>Föryngringsavverkning</t>
        </is>
      </c>
      <c r="D42" s="1" t="n">
        <v>45593</v>
      </c>
      <c r="E42" s="1" t="n">
        <v>46221</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s="2" t="inlineStr">
        <is>
          <t>Nordfladdermus</t>
        </is>
      </c>
      <c r="V42">
        <f>HYPERLINK("https://klasma.github.io/Logging_2026/artfynd/A 48805-2024 artfynd.xlsx", "A 48805-2024")</f>
        <v/>
      </c>
      <c r="W42">
        <f>HYPERLINK("https://klasma.github.io/Logging_2026/kartor/A 48805-2024 karta.png", "A 48805-2024")</f>
        <v/>
      </c>
      <c r="Y42">
        <f>HYPERLINK("https://klasma.github.io/Logging_2026/klagomål/A 48805-2024 FSC-klagomål.docx", "A 48805-2024")</f>
        <v/>
      </c>
      <c r="Z42">
        <f>HYPERLINK("https://klasma.github.io/Logging_2026/klagomålsmail/A 48805-2024 FSC-klagomål mail.docx", "A 48805-2024")</f>
        <v/>
      </c>
      <c r="AA42">
        <f>HYPERLINK("https://klasma.github.io/Logging_2026/tillsyn/A 48805-2024 tillsynsbegäran.docx", "A 48805-2024")</f>
        <v/>
      </c>
      <c r="AB42">
        <f>HYPERLINK("https://klasma.github.io/Logging_2026/tillsynsmail/A 48805-2024 tillsynsbegäran mail.docx", "A 48805-2024")</f>
        <v/>
      </c>
    </row>
    <row r="43" ht="15" customHeight="1">
      <c r="A43" t="inlineStr">
        <is>
          <t>A 34313-2025</t>
        </is>
      </c>
      <c r="B43" t="inlineStr">
        <is>
          <t>avverkningsanmälan</t>
        </is>
      </c>
      <c r="C43" t="inlineStr">
        <is>
          <t>Föryngringsavverkning</t>
        </is>
      </c>
      <c r="D43" s="1" t="n">
        <v>45846</v>
      </c>
      <c r="E43" s="1" t="n">
        <v>46221</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s="2" t="inlineStr">
        <is>
          <t>Garnlav</t>
        </is>
      </c>
      <c r="V43">
        <f>HYPERLINK("https://klasma.github.io/Logging_2026/artfynd/A 34313-2025 artfynd.xlsx", "A 34313-2025")</f>
        <v/>
      </c>
      <c r="W43">
        <f>HYPERLINK("https://klasma.github.io/Logging_2026/kartor/A 34313-2025 karta.png", "A 34313-2025")</f>
        <v/>
      </c>
      <c r="Y43">
        <f>HYPERLINK("https://klasma.github.io/Logging_2026/klagomål/A 34313-2025 FSC-klagomål.docx", "A 34313-2025")</f>
        <v/>
      </c>
      <c r="Z43">
        <f>HYPERLINK("https://klasma.github.io/Logging_2026/klagomålsmail/A 34313-2025 FSC-klagomål mail.docx", "A 34313-2025")</f>
        <v/>
      </c>
      <c r="AA43">
        <f>HYPERLINK("https://klasma.github.io/Logging_2026/tillsyn/A 34313-2025 tillsynsbegäran.docx", "A 34313-2025")</f>
        <v/>
      </c>
      <c r="AB43">
        <f>HYPERLINK("https://klasma.github.io/Logging_2026/tillsynsmail/A 34313-2025 tillsynsbegäran mail.docx", "A 34313-2025")</f>
        <v/>
      </c>
    </row>
    <row r="44" ht="15" customHeight="1">
      <c r="A44" t="inlineStr">
        <is>
          <t>A 28191-2026</t>
        </is>
      </c>
      <c r="B44" t="inlineStr">
        <is>
          <t>avverkningsanmälan</t>
        </is>
      </c>
      <c r="C44" t="inlineStr">
        <is>
          <t>Föryngringsavverkning</t>
        </is>
      </c>
      <c r="D44" s="1" t="n">
        <v>46195</v>
      </c>
      <c r="E44" s="1" t="n">
        <v>46221</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s="2" t="inlineStr">
        <is>
          <t>Spillkråka</t>
        </is>
      </c>
      <c r="V44">
        <f>HYPERLINK("https://klasma.github.io/Logging_2026/artfynd/A 28191-2026 artfynd.xlsx", "A 28191-2026")</f>
        <v/>
      </c>
      <c r="W44">
        <f>HYPERLINK("https://klasma.github.io/Logging_2026/kartor/A 28191-2026 karta.png", "A 28191-2026")</f>
        <v/>
      </c>
      <c r="Y44">
        <f>HYPERLINK("https://klasma.github.io/Logging_2026/klagomål/A 28191-2026 FSC-klagomål.docx", "A 28191-2026")</f>
        <v/>
      </c>
      <c r="Z44">
        <f>HYPERLINK("https://klasma.github.io/Logging_2026/klagomålsmail/A 28191-2026 FSC-klagomål mail.docx", "A 28191-2026")</f>
        <v/>
      </c>
      <c r="AA44">
        <f>HYPERLINK("https://klasma.github.io/Logging_2026/tillsyn/A 28191-2026 tillsynsbegäran.docx", "A 28191-2026")</f>
        <v/>
      </c>
      <c r="AB44">
        <f>HYPERLINK("https://klasma.github.io/Logging_2026/tillsynsmail/A 28191-2026 tillsynsbegäran mail.docx", "A 28191-2026")</f>
        <v/>
      </c>
      <c r="AC44">
        <f>HYPERLINK("https://klasma.github.io/Logging_2026/fåglar/A 28191-2026 prioriterade fågelarter.docx", "A 28191-2026")</f>
        <v/>
      </c>
    </row>
    <row r="45" ht="15" customHeight="1">
      <c r="A45" t="inlineStr">
        <is>
          <t>A 22137-2026</t>
        </is>
      </c>
      <c r="B45" t="inlineStr">
        <is>
          <t>avverkningsanmälan</t>
        </is>
      </c>
      <c r="C45" t="inlineStr">
        <is>
          <t>Föryngringsavverkning</t>
        </is>
      </c>
      <c r="D45" s="1" t="n">
        <v>46153</v>
      </c>
      <c r="E45" s="1" t="n">
        <v>46221</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s="2" t="inlineStr">
        <is>
          <t>Garnlav</t>
        </is>
      </c>
      <c r="V45">
        <f>HYPERLINK("https://klasma.github.io/Logging_2026/artfynd/A 22137-2026 artfynd.xlsx", "A 22137-2026")</f>
        <v/>
      </c>
      <c r="W45">
        <f>HYPERLINK("https://klasma.github.io/Logging_2026/kartor/A 22137-2026 karta.png", "A 22137-2026")</f>
        <v/>
      </c>
      <c r="Y45">
        <f>HYPERLINK("https://klasma.github.io/Logging_2026/klagomål/A 22137-2026 FSC-klagomål.docx", "A 22137-2026")</f>
        <v/>
      </c>
      <c r="Z45">
        <f>HYPERLINK("https://klasma.github.io/Logging_2026/klagomålsmail/A 22137-2026 FSC-klagomål mail.docx", "A 22137-2026")</f>
        <v/>
      </c>
      <c r="AA45">
        <f>HYPERLINK("https://klasma.github.io/Logging_2026/tillsyn/A 22137-2026 tillsynsbegäran.docx", "A 22137-2026")</f>
        <v/>
      </c>
      <c r="AB45">
        <f>HYPERLINK("https://klasma.github.io/Logging_2026/tillsynsmail/A 22137-2026 tillsynsbegäran mail.docx", "A 22137-2026")</f>
        <v/>
      </c>
    </row>
    <row r="46" ht="15" customHeight="1">
      <c r="A46" t="inlineStr">
        <is>
          <t>A 28190-2026</t>
        </is>
      </c>
      <c r="B46" t="inlineStr">
        <is>
          <t>avverkningsanmälan</t>
        </is>
      </c>
      <c r="C46" t="inlineStr">
        <is>
          <t>Föryngringsavverkning</t>
        </is>
      </c>
      <c r="D46" s="1" t="n">
        <v>46195</v>
      </c>
      <c r="E46" s="1" t="n">
        <v>46221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s="2" t="inlineStr">
        <is>
          <t>Spillkråka</t>
        </is>
      </c>
      <c r="V46">
        <f>HYPERLINK("https://klasma.github.io/Logging_2026/artfynd/A 28190-2026 artfynd.xlsx", "A 28190-2026")</f>
        <v/>
      </c>
      <c r="W46">
        <f>HYPERLINK("https://klasma.github.io/Logging_2026/kartor/A 28190-2026 karta.png", "A 28190-2026")</f>
        <v/>
      </c>
      <c r="Y46">
        <f>HYPERLINK("https://klasma.github.io/Logging_2026/klagomål/A 28190-2026 FSC-klagomål.docx", "A 28190-2026")</f>
        <v/>
      </c>
      <c r="Z46">
        <f>HYPERLINK("https://klasma.github.io/Logging_2026/klagomålsmail/A 28190-2026 FSC-klagomål mail.docx", "A 28190-2026")</f>
        <v/>
      </c>
      <c r="AA46">
        <f>HYPERLINK("https://klasma.github.io/Logging_2026/tillsyn/A 28190-2026 tillsynsbegäran.docx", "A 28190-2026")</f>
        <v/>
      </c>
      <c r="AB46">
        <f>HYPERLINK("https://klasma.github.io/Logging_2026/tillsynsmail/A 28190-2026 tillsynsbegäran mail.docx", "A 28190-2026")</f>
        <v/>
      </c>
      <c r="AC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46221</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s="2" t="inlineStr">
        <is>
          <t>Mattlummer</t>
        </is>
      </c>
      <c r="V47">
        <f>HYPERLINK("https://klasma.github.io/Logging_2026/artfynd/A 19046-2025 artfynd.xlsx", "A 19046-2025")</f>
        <v/>
      </c>
      <c r="W47">
        <f>HYPERLINK("https://klasma.github.io/Logging_2026/kartor/A 19046-2025 karta.png", "A 19046-2025")</f>
        <v/>
      </c>
      <c r="Y47">
        <f>HYPERLINK("https://klasma.github.io/Logging_2026/klagomål/A 19046-2025 FSC-klagomål.docx", "A 19046-2025")</f>
        <v/>
      </c>
      <c r="Z47">
        <f>HYPERLINK("https://klasma.github.io/Logging_2026/klagomålsmail/A 19046-2025 FSC-klagomål mail.docx", "A 19046-2025")</f>
        <v/>
      </c>
      <c r="AA47">
        <f>HYPERLINK("https://klasma.github.io/Logging_2026/tillsyn/A 19046-2025 tillsynsbegäran.docx", "A 19046-2025")</f>
        <v/>
      </c>
      <c r="AB47">
        <f>HYPERLINK("https://klasma.github.io/Logging_2026/tillsynsmail/A 19046-2025 tillsynsbegäran mail.docx", "A 19046-2025")</f>
        <v/>
      </c>
    </row>
    <row r="48" ht="15" customHeight="1">
      <c r="A48" t="inlineStr">
        <is>
          <t>A 17219-2026</t>
        </is>
      </c>
      <c r="B48" t="inlineStr">
        <is>
          <t>avverkningsanmälan</t>
        </is>
      </c>
      <c r="C48" t="inlineStr">
        <is>
          <t>Föryngringsavverkning</t>
        </is>
      </c>
      <c r="D48" s="1" t="n">
        <v>46119</v>
      </c>
      <c r="E48" s="1" t="n">
        <v>46221</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s="2" t="inlineStr">
        <is>
          <t>Vanlig groda</t>
        </is>
      </c>
      <c r="V48">
        <f>HYPERLINK("https://klasma.github.io/Logging_2026/artfynd/A 17219-2026 artfynd.xlsx", "A 17219-2026")</f>
        <v/>
      </c>
      <c r="W48">
        <f>HYPERLINK("https://klasma.github.io/Logging_2026/kartor/A 17219-2026 karta.png", "A 17219-2026")</f>
        <v/>
      </c>
      <c r="Y48">
        <f>HYPERLINK("https://klasma.github.io/Logging_2026/klagomål/A 17219-2026 FSC-klagomål.docx", "A 17219-2026")</f>
        <v/>
      </c>
      <c r="Z48">
        <f>HYPERLINK("https://klasma.github.io/Logging_2026/klagomålsmail/A 17219-2026 FSC-klagomål mail.docx", "A 17219-2026")</f>
        <v/>
      </c>
      <c r="AA48">
        <f>HYPERLINK("https://klasma.github.io/Logging_2026/tillsyn/A 17219-2026 tillsynsbegäran.docx", "A 17219-2026")</f>
        <v/>
      </c>
      <c r="AB48">
        <f>HYPERLINK("https://klasma.github.io/Logging_2026/tillsynsmail/A 17219-2026 tillsynsbegäran mail.docx", "A 17219-2026")</f>
        <v/>
      </c>
    </row>
    <row r="49" ht="15" customHeight="1">
      <c r="A49" t="inlineStr">
        <is>
          <t>S 2438-2022</t>
        </is>
      </c>
      <c r="B49" t="inlineStr">
        <is>
          <t>samrådsanmälan</t>
        </is>
      </c>
      <c r="C49" t="inlineStr">
        <is>
          <t>Annan skogsbruksåtgärd</t>
        </is>
      </c>
      <c r="D49" s="1" t="n">
        <v>44691</v>
      </c>
      <c r="E49" s="1" t="n">
        <v>46221</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s="2" t="inlineStr">
        <is>
          <t>Rödvingetrast</t>
        </is>
      </c>
      <c r="V49">
        <f>HYPERLINK("https://klasma.github.io/Logging_2026/artfynd/S 2438-2022 artfynd.xlsx", "S 2438-2022")</f>
        <v/>
      </c>
      <c r="W49">
        <f>HYPERLINK("https://klasma.github.io/Logging_2026/kartor/S 2438-2022 karta.png", "S 2438-2022")</f>
        <v/>
      </c>
      <c r="Y49">
        <f>HYPERLINK("https://klasma.github.io/Logging_2026/klagomål/S 2438-2022 FSC-klagomål.docx", "S 2438-2022")</f>
        <v/>
      </c>
      <c r="Z49">
        <f>HYPERLINK("https://klasma.github.io/Logging_2026/klagomålsmail/S 2438-2022 FSC-klagomål mail.docx", "S 2438-2022")</f>
        <v/>
      </c>
      <c r="AA49">
        <f>HYPERLINK("https://klasma.github.io/Logging_2026/tillsyn/S 2438-2022 tillsynsbegäran.docx", "S 2438-2022")</f>
        <v/>
      </c>
      <c r="AB49">
        <f>HYPERLINK("https://klasma.github.io/Logging_2026/tillsynsmail/S 2438-2022 tillsynsbegäran mail.docx", "S 2438-2022")</f>
        <v/>
      </c>
      <c r="AC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46221</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Y50">
        <f>HYPERLINK("https://klasma.github.io/Logging_2026/klagomål/S 4982-2021 FSC-klagomål.docx", "S 4982-2021")</f>
        <v/>
      </c>
      <c r="Z50">
        <f>HYPERLINK("https://klasma.github.io/Logging_2026/klagomålsmail/S 4982-2021 FSC-klagomål mail.docx", "S 4982-2021")</f>
        <v/>
      </c>
      <c r="AA50">
        <f>HYPERLINK("https://klasma.github.io/Logging_2026/tillsyn/S 4982-2021 tillsynsbegäran.docx", "S 4982-2021")</f>
        <v/>
      </c>
      <c r="AB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46221</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46221</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46221</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46221</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46221</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46221</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46221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46221</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46221</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46221</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46221</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46221</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46221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46221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46221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46221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46221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37245-2021</t>
        </is>
      </c>
      <c r="B68" t="inlineStr">
        <is>
          <t>avverkningsanmälan</t>
        </is>
      </c>
      <c r="C68" t="inlineStr">
        <is>
          <t>Föryngringsavverkning</t>
        </is>
      </c>
      <c r="D68" s="1" t="n">
        <v>44396</v>
      </c>
      <c r="E68" s="1" t="n">
        <v>46221</v>
      </c>
      <c r="F68" t="inlineStr">
        <is>
          <t>DALARNAS LÄN</t>
        </is>
      </c>
      <c r="G68" t="inlineStr">
        <is>
          <t>GAGNEF</t>
        </is>
      </c>
      <c r="I68" t="n">
        <v>9.199999999999999</v>
      </c>
      <c r="J68" t="n">
        <v>0</v>
      </c>
      <c r="K68" t="n">
        <v>0</v>
      </c>
      <c r="L68" t="n">
        <v>0</v>
      </c>
      <c r="M68" t="n">
        <v>0</v>
      </c>
      <c r="N68" t="n">
        <v>0</v>
      </c>
      <c r="O68" t="n">
        <v>0</v>
      </c>
      <c r="P68" t="n">
        <v>0</v>
      </c>
      <c r="Q68" t="n">
        <v>0</v>
      </c>
      <c r="R68" t="n">
        <v>0</v>
      </c>
      <c r="S68" t="n">
        <v>0</v>
      </c>
      <c r="T68" t="n">
        <v>0</v>
      </c>
      <c r="U68" s="2" t="inlineStr"/>
    </row>
    <row r="69" ht="15" customHeight="1">
      <c r="A69" t="inlineStr">
        <is>
          <t>A 55398-2022</t>
        </is>
      </c>
      <c r="B69" t="inlineStr">
        <is>
          <t>avverkningsanmälan</t>
        </is>
      </c>
      <c r="C69" t="inlineStr">
        <is>
          <t>Föryngringsavverkning</t>
        </is>
      </c>
      <c r="D69" s="1" t="n">
        <v>44887</v>
      </c>
      <c r="E69" s="1" t="n">
        <v>46221</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26622-2023</t>
        </is>
      </c>
      <c r="B70" t="inlineStr">
        <is>
          <t>avverkningsanmälan</t>
        </is>
      </c>
      <c r="C70" t="inlineStr">
        <is>
          <t>Avverkning för att bevara och utveckla /försöksver</t>
        </is>
      </c>
      <c r="D70" s="1" t="n">
        <v>45092</v>
      </c>
      <c r="E70" s="1" t="n">
        <v>46221</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s="2" t="inlineStr"/>
    </row>
    <row r="71" ht="15" customHeight="1">
      <c r="A71" t="inlineStr">
        <is>
          <t>A 37870-2022</t>
        </is>
      </c>
      <c r="B71" t="inlineStr">
        <is>
          <t>avverkningsanmälan</t>
        </is>
      </c>
      <c r="C71" t="inlineStr">
        <is>
          <t>Föryngringsavverkning</t>
        </is>
      </c>
      <c r="D71" s="1" t="n">
        <v>44811</v>
      </c>
      <c r="E71" s="1" t="n">
        <v>46221</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s="2" t="inlineStr"/>
    </row>
    <row r="72" ht="15" customHeight="1">
      <c r="A72" t="inlineStr">
        <is>
          <t>A 17322-2024</t>
        </is>
      </c>
      <c r="B72" t="inlineStr">
        <is>
          <t>avverkningsanmälan</t>
        </is>
      </c>
      <c r="C72" t="inlineStr">
        <is>
          <t>Föryngringsavverkning</t>
        </is>
      </c>
      <c r="D72" s="1" t="n">
        <v>45414</v>
      </c>
      <c r="E72" s="1" t="n">
        <v>46221</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s="2" t="inlineStr"/>
    </row>
    <row r="73" ht="15" customHeight="1">
      <c r="A73" t="inlineStr">
        <is>
          <t>A 43916-2024</t>
        </is>
      </c>
      <c r="B73" t="inlineStr">
        <is>
          <t>avverkningsanmälan</t>
        </is>
      </c>
      <c r="C73" t="inlineStr">
        <is>
          <t>Föryngringsavverkning</t>
        </is>
      </c>
      <c r="D73" s="1" t="n">
        <v>45572</v>
      </c>
      <c r="E73" s="1" t="n">
        <v>46221</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s="2" t="inlineStr"/>
    </row>
    <row r="74" ht="15" customHeight="1">
      <c r="A74" t="inlineStr">
        <is>
          <t>A 17854-2024</t>
        </is>
      </c>
      <c r="B74" t="inlineStr">
        <is>
          <t>avverkningsanmälan</t>
        </is>
      </c>
      <c r="C74" t="inlineStr">
        <is>
          <t>Föryngringsavverkning</t>
        </is>
      </c>
      <c r="D74" s="1" t="n">
        <v>45419</v>
      </c>
      <c r="E74" s="1" t="n">
        <v>46221</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s="2" t="inlineStr"/>
    </row>
    <row r="75" ht="15" customHeight="1">
      <c r="A75" t="inlineStr">
        <is>
          <t>A 25853-2024</t>
        </is>
      </c>
      <c r="B75" t="inlineStr">
        <is>
          <t>avverkningsanmälan</t>
        </is>
      </c>
      <c r="C75" t="inlineStr">
        <is>
          <t>Avverkning för annat ändamål</t>
        </is>
      </c>
      <c r="D75" s="1" t="n">
        <v>45467</v>
      </c>
      <c r="E75" s="1" t="n">
        <v>46221</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s="2" t="inlineStr"/>
    </row>
    <row r="76" ht="15" customHeight="1">
      <c r="A76" t="inlineStr">
        <is>
          <t>A 38422-2024</t>
        </is>
      </c>
      <c r="B76" t="inlineStr">
        <is>
          <t>avverkningsanmälan</t>
        </is>
      </c>
      <c r="C76" t="inlineStr">
        <is>
          <t>Föryngringsavverkning</t>
        </is>
      </c>
      <c r="D76" s="1" t="n">
        <v>45546</v>
      </c>
      <c r="E76" s="1" t="n">
        <v>46221</v>
      </c>
      <c r="F76" t="inlineStr">
        <is>
          <t>DALARNAS LÄN</t>
        </is>
      </c>
      <c r="G76" t="inlineStr">
        <is>
          <t>GAGNEF</t>
        </is>
      </c>
      <c r="H76" t="inlineStr">
        <is>
          <t>Bergvik skog väst AB</t>
        </is>
      </c>
      <c r="I76" t="n">
        <v>0.6</v>
      </c>
      <c r="J76" t="n">
        <v>0</v>
      </c>
      <c r="K76" t="n">
        <v>0</v>
      </c>
      <c r="L76" t="n">
        <v>0</v>
      </c>
      <c r="M76" t="n">
        <v>0</v>
      </c>
      <c r="N76" t="n">
        <v>0</v>
      </c>
      <c r="O76" t="n">
        <v>0</v>
      </c>
      <c r="P76" t="n">
        <v>0</v>
      </c>
      <c r="Q76" t="n">
        <v>0</v>
      </c>
      <c r="R76" t="n">
        <v>0</v>
      </c>
      <c r="S76" t="n">
        <v>0</v>
      </c>
      <c r="T76" t="n">
        <v>0</v>
      </c>
      <c r="U76" s="2" t="inlineStr"/>
    </row>
    <row r="77" ht="15" customHeight="1">
      <c r="A77" t="inlineStr">
        <is>
          <t>A 40409-2022</t>
        </is>
      </c>
      <c r="B77" t="inlineStr">
        <is>
          <t>avverkningsanmälan</t>
        </is>
      </c>
      <c r="C77" t="inlineStr">
        <is>
          <t>Föryngringsavverkning</t>
        </is>
      </c>
      <c r="D77" s="1" t="n">
        <v>44823</v>
      </c>
      <c r="E77" s="1" t="n">
        <v>46221</v>
      </c>
      <c r="F77" t="inlineStr">
        <is>
          <t>DALARNAS LÄN</t>
        </is>
      </c>
      <c r="G77" t="inlineStr">
        <is>
          <t>GAGNEF</t>
        </is>
      </c>
      <c r="I77" t="n">
        <v>3</v>
      </c>
      <c r="J77" t="n">
        <v>0</v>
      </c>
      <c r="K77" t="n">
        <v>0</v>
      </c>
      <c r="L77" t="n">
        <v>0</v>
      </c>
      <c r="M77" t="n">
        <v>0</v>
      </c>
      <c r="N77" t="n">
        <v>0</v>
      </c>
      <c r="O77" t="n">
        <v>0</v>
      </c>
      <c r="P77" t="n">
        <v>0</v>
      </c>
      <c r="Q77" t="n">
        <v>0</v>
      </c>
      <c r="R77" t="n">
        <v>0</v>
      </c>
      <c r="S77" t="n">
        <v>0</v>
      </c>
      <c r="T77" t="n">
        <v>0</v>
      </c>
      <c r="U77" s="2" t="inlineStr"/>
    </row>
    <row r="78" ht="15" customHeight="1">
      <c r="A78" t="inlineStr">
        <is>
          <t>A 35526-2024</t>
        </is>
      </c>
      <c r="B78" t="inlineStr">
        <is>
          <t>avverkningsanmälan</t>
        </is>
      </c>
      <c r="C78" t="inlineStr">
        <is>
          <t>Föryngringsavverkning</t>
        </is>
      </c>
      <c r="D78" s="1" t="n">
        <v>45531</v>
      </c>
      <c r="E78" s="1" t="n">
        <v>46221</v>
      </c>
      <c r="F78" t="inlineStr">
        <is>
          <t>DALARNAS LÄN</t>
        </is>
      </c>
      <c r="G78" t="inlineStr">
        <is>
          <t>GAGNEF</t>
        </is>
      </c>
      <c r="I78" t="n">
        <v>1.3</v>
      </c>
      <c r="J78" t="n">
        <v>0</v>
      </c>
      <c r="K78" t="n">
        <v>0</v>
      </c>
      <c r="L78" t="n">
        <v>0</v>
      </c>
      <c r="M78" t="n">
        <v>0</v>
      </c>
      <c r="N78" t="n">
        <v>0</v>
      </c>
      <c r="O78" t="n">
        <v>0</v>
      </c>
      <c r="P78" t="n">
        <v>0</v>
      </c>
      <c r="Q78" t="n">
        <v>0</v>
      </c>
      <c r="R78" t="n">
        <v>0</v>
      </c>
      <c r="S78" t="n">
        <v>0</v>
      </c>
      <c r="T78" t="n">
        <v>0</v>
      </c>
      <c r="U78" s="2" t="inlineStr"/>
    </row>
    <row r="79" ht="15" customHeight="1">
      <c r="A79" t="inlineStr">
        <is>
          <t>A 17321-2024</t>
        </is>
      </c>
      <c r="B79" t="inlineStr">
        <is>
          <t>avverkningsanmälan</t>
        </is>
      </c>
      <c r="C79" t="inlineStr">
        <is>
          <t>Föryngringsavverkning</t>
        </is>
      </c>
      <c r="D79" s="1" t="n">
        <v>45414</v>
      </c>
      <c r="E79" s="1" t="n">
        <v>46221</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s="2" t="inlineStr"/>
    </row>
    <row r="80" ht="15" customHeight="1">
      <c r="A80" t="inlineStr">
        <is>
          <t>A 31804-2024</t>
        </is>
      </c>
      <c r="B80" t="inlineStr">
        <is>
          <t>avverkningsanmälan</t>
        </is>
      </c>
      <c r="C80" t="inlineStr">
        <is>
          <t>Föryngringsavverkning</t>
        </is>
      </c>
      <c r="D80" s="1" t="n">
        <v>45509</v>
      </c>
      <c r="E80" s="1" t="n">
        <v>46221</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s="2" t="inlineStr"/>
    </row>
    <row r="81" ht="15" customHeight="1">
      <c r="A81" t="inlineStr">
        <is>
          <t>A 3389-2026</t>
        </is>
      </c>
      <c r="B81" t="inlineStr">
        <is>
          <t>avverkningsanmälan</t>
        </is>
      </c>
      <c r="C81" t="inlineStr">
        <is>
          <t>Föryngringsavverkning</t>
        </is>
      </c>
      <c r="D81" s="1" t="n">
        <v>46042</v>
      </c>
      <c r="E81" s="1" t="n">
        <v>46221</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s="2" t="inlineStr"/>
    </row>
    <row r="82" ht="15" customHeight="1">
      <c r="A82" t="inlineStr">
        <is>
          <t>A 3599-2026</t>
        </is>
      </c>
      <c r="B82" t="inlineStr">
        <is>
          <t>avverkningsanmälan</t>
        </is>
      </c>
      <c r="C82" t="inlineStr">
        <is>
          <t>Föryngringsavverkning</t>
        </is>
      </c>
      <c r="D82" s="1" t="n">
        <v>46042</v>
      </c>
      <c r="E82" s="1" t="n">
        <v>46221</v>
      </c>
      <c r="F82" t="inlineStr">
        <is>
          <t>DALARNAS LÄN</t>
        </is>
      </c>
      <c r="G82" t="inlineStr">
        <is>
          <t>GAGNEF</t>
        </is>
      </c>
      <c r="I82" t="n">
        <v>2</v>
      </c>
      <c r="J82" t="n">
        <v>0</v>
      </c>
      <c r="K82" t="n">
        <v>0</v>
      </c>
      <c r="L82" t="n">
        <v>0</v>
      </c>
      <c r="M82" t="n">
        <v>0</v>
      </c>
      <c r="N82" t="n">
        <v>0</v>
      </c>
      <c r="O82" t="n">
        <v>0</v>
      </c>
      <c r="P82" t="n">
        <v>0</v>
      </c>
      <c r="Q82" t="n">
        <v>0</v>
      </c>
      <c r="R82" t="n">
        <v>0</v>
      </c>
      <c r="S82" t="n">
        <v>0</v>
      </c>
      <c r="T82" t="n">
        <v>0</v>
      </c>
      <c r="U82" s="2" t="inlineStr"/>
    </row>
    <row r="83" ht="15" customHeight="1">
      <c r="A83" t="inlineStr">
        <is>
          <t>A 38074-2024</t>
        </is>
      </c>
      <c r="B83" t="inlineStr">
        <is>
          <t>avverkningsanmälan</t>
        </is>
      </c>
      <c r="C83" t="inlineStr">
        <is>
          <t>Föryngringsavverkning</t>
        </is>
      </c>
      <c r="D83" s="1" t="n">
        <v>45545</v>
      </c>
      <c r="E83" s="1" t="n">
        <v>46221</v>
      </c>
      <c r="F83" t="inlineStr">
        <is>
          <t>DALARNAS LÄN</t>
        </is>
      </c>
      <c r="G83" t="inlineStr">
        <is>
          <t>GAGNEF</t>
        </is>
      </c>
      <c r="I83" t="n">
        <v>1</v>
      </c>
      <c r="J83" t="n">
        <v>0</v>
      </c>
      <c r="K83" t="n">
        <v>0</v>
      </c>
      <c r="L83" t="n">
        <v>0</v>
      </c>
      <c r="M83" t="n">
        <v>0</v>
      </c>
      <c r="N83" t="n">
        <v>0</v>
      </c>
      <c r="O83" t="n">
        <v>0</v>
      </c>
      <c r="P83" t="n">
        <v>0</v>
      </c>
      <c r="Q83" t="n">
        <v>0</v>
      </c>
      <c r="R83" t="n">
        <v>0</v>
      </c>
      <c r="S83" t="n">
        <v>0</v>
      </c>
      <c r="T83" t="n">
        <v>0</v>
      </c>
      <c r="U83" s="2" t="inlineStr"/>
    </row>
    <row r="84" ht="15" customHeight="1">
      <c r="A84" t="inlineStr">
        <is>
          <t>A 44149-2023</t>
        </is>
      </c>
      <c r="B84" t="inlineStr">
        <is>
          <t>avverkningsanmälan</t>
        </is>
      </c>
      <c r="C84" t="inlineStr">
        <is>
          <t>Föryngringsavverkning</t>
        </is>
      </c>
      <c r="D84" s="1" t="n">
        <v>45188</v>
      </c>
      <c r="E84" s="1" t="n">
        <v>46221</v>
      </c>
      <c r="F84" t="inlineStr">
        <is>
          <t>DALARNAS LÄN</t>
        </is>
      </c>
      <c r="G84" t="inlineStr">
        <is>
          <t>GAGNEF</t>
        </is>
      </c>
      <c r="I84" t="n">
        <v>1.7</v>
      </c>
      <c r="J84" t="n">
        <v>0</v>
      </c>
      <c r="K84" t="n">
        <v>0</v>
      </c>
      <c r="L84" t="n">
        <v>0</v>
      </c>
      <c r="M84" t="n">
        <v>0</v>
      </c>
      <c r="N84" t="n">
        <v>0</v>
      </c>
      <c r="O84" t="n">
        <v>0</v>
      </c>
      <c r="P84" t="n">
        <v>0</v>
      </c>
      <c r="Q84" t="n">
        <v>0</v>
      </c>
      <c r="R84" t="n">
        <v>0</v>
      </c>
      <c r="S84" t="n">
        <v>0</v>
      </c>
      <c r="T84" t="n">
        <v>0</v>
      </c>
      <c r="U84" s="2" t="inlineStr"/>
    </row>
    <row r="85" ht="15" customHeight="1">
      <c r="A85" t="inlineStr">
        <is>
          <t>A 20486-2024</t>
        </is>
      </c>
      <c r="B85" t="inlineStr">
        <is>
          <t>avverkningsanmälan</t>
        </is>
      </c>
      <c r="C85" t="inlineStr">
        <is>
          <t>Föryngringsavverkning</t>
        </is>
      </c>
      <c r="D85" s="1" t="n">
        <v>45435</v>
      </c>
      <c r="E85" s="1" t="n">
        <v>46221</v>
      </c>
      <c r="F85" t="inlineStr">
        <is>
          <t>DALARNAS LÄN</t>
        </is>
      </c>
      <c r="G85" t="inlineStr">
        <is>
          <t>GAGNEF</t>
        </is>
      </c>
      <c r="I85" t="n">
        <v>10.1</v>
      </c>
      <c r="J85" t="n">
        <v>0</v>
      </c>
      <c r="K85" t="n">
        <v>0</v>
      </c>
      <c r="L85" t="n">
        <v>0</v>
      </c>
      <c r="M85" t="n">
        <v>0</v>
      </c>
      <c r="N85" t="n">
        <v>0</v>
      </c>
      <c r="O85" t="n">
        <v>0</v>
      </c>
      <c r="P85" t="n">
        <v>0</v>
      </c>
      <c r="Q85" t="n">
        <v>0</v>
      </c>
      <c r="R85" t="n">
        <v>0</v>
      </c>
      <c r="S85" t="n">
        <v>0</v>
      </c>
      <c r="T85" t="n">
        <v>0</v>
      </c>
      <c r="U85" s="2" t="inlineStr"/>
    </row>
    <row r="86" ht="15" customHeight="1">
      <c r="A86" t="inlineStr">
        <is>
          <t>A 13169-2025</t>
        </is>
      </c>
      <c r="B86" t="inlineStr">
        <is>
          <t>avverkningsanmälan</t>
        </is>
      </c>
      <c r="C86" t="inlineStr">
        <is>
          <t>Föryngringsavverkning</t>
        </is>
      </c>
      <c r="D86" s="1" t="n">
        <v>45735</v>
      </c>
      <c r="E86" s="1" t="n">
        <v>46221</v>
      </c>
      <c r="F86" t="inlineStr">
        <is>
          <t>DALARNAS LÄN</t>
        </is>
      </c>
      <c r="G86" t="inlineStr">
        <is>
          <t>GAGNEF</t>
        </is>
      </c>
      <c r="H86" t="inlineStr">
        <is>
          <t>Bergvik skog väst AB</t>
        </is>
      </c>
      <c r="I86" t="n">
        <v>2.4</v>
      </c>
      <c r="J86" t="n">
        <v>0</v>
      </c>
      <c r="K86" t="n">
        <v>0</v>
      </c>
      <c r="L86" t="n">
        <v>0</v>
      </c>
      <c r="M86" t="n">
        <v>0</v>
      </c>
      <c r="N86" t="n">
        <v>0</v>
      </c>
      <c r="O86" t="n">
        <v>0</v>
      </c>
      <c r="P86" t="n">
        <v>0</v>
      </c>
      <c r="Q86" t="n">
        <v>0</v>
      </c>
      <c r="R86" t="n">
        <v>0</v>
      </c>
      <c r="S86" t="n">
        <v>0</v>
      </c>
      <c r="T86" t="n">
        <v>0</v>
      </c>
      <c r="U86" s="2" t="inlineStr"/>
    </row>
    <row r="87" ht="15" customHeight="1">
      <c r="A87" t="inlineStr">
        <is>
          <t>A 42596-2021</t>
        </is>
      </c>
      <c r="B87" t="inlineStr">
        <is>
          <t>avverkningsanmälan</t>
        </is>
      </c>
      <c r="C87" t="inlineStr">
        <is>
          <t>Föryngringsavverkning</t>
        </is>
      </c>
      <c r="D87" s="1" t="n">
        <v>44428</v>
      </c>
      <c r="E87" s="1" t="n">
        <v>46221</v>
      </c>
      <c r="F87" t="inlineStr">
        <is>
          <t>DALARNAS LÄN</t>
        </is>
      </c>
      <c r="G87" t="inlineStr">
        <is>
          <t>GAGNEF</t>
        </is>
      </c>
      <c r="I87" t="n">
        <v>1.7</v>
      </c>
      <c r="J87" t="n">
        <v>0</v>
      </c>
      <c r="K87" t="n">
        <v>0</v>
      </c>
      <c r="L87" t="n">
        <v>0</v>
      </c>
      <c r="M87" t="n">
        <v>0</v>
      </c>
      <c r="N87" t="n">
        <v>0</v>
      </c>
      <c r="O87" t="n">
        <v>0</v>
      </c>
      <c r="P87" t="n">
        <v>0</v>
      </c>
      <c r="Q87" t="n">
        <v>0</v>
      </c>
      <c r="R87" t="n">
        <v>0</v>
      </c>
      <c r="S87" t="n">
        <v>0</v>
      </c>
      <c r="T87" t="n">
        <v>0</v>
      </c>
      <c r="U87" s="2" t="inlineStr"/>
    </row>
    <row r="88" ht="15" customHeight="1">
      <c r="A88" t="inlineStr">
        <is>
          <t>A 42715-2024</t>
        </is>
      </c>
      <c r="B88" t="inlineStr">
        <is>
          <t>avverkningsanmälan</t>
        </is>
      </c>
      <c r="C88" t="inlineStr">
        <is>
          <t>Föryngringsavverkning</t>
        </is>
      </c>
      <c r="D88" s="1" t="n">
        <v>45566</v>
      </c>
      <c r="E88" s="1" t="n">
        <v>46221</v>
      </c>
      <c r="F88" t="inlineStr">
        <is>
          <t>DALARNAS LÄN</t>
        </is>
      </c>
      <c r="G88" t="inlineStr">
        <is>
          <t>GAGNEF</t>
        </is>
      </c>
      <c r="I88" t="n">
        <v>1</v>
      </c>
      <c r="J88" t="n">
        <v>0</v>
      </c>
      <c r="K88" t="n">
        <v>0</v>
      </c>
      <c r="L88" t="n">
        <v>0</v>
      </c>
      <c r="M88" t="n">
        <v>0</v>
      </c>
      <c r="N88" t="n">
        <v>0</v>
      </c>
      <c r="O88" t="n">
        <v>0</v>
      </c>
      <c r="P88" t="n">
        <v>0</v>
      </c>
      <c r="Q88" t="n">
        <v>0</v>
      </c>
      <c r="R88" t="n">
        <v>0</v>
      </c>
      <c r="S88" t="n">
        <v>0</v>
      </c>
      <c r="T88" t="n">
        <v>0</v>
      </c>
      <c r="U88" s="2" t="inlineStr"/>
    </row>
    <row r="89" ht="15" customHeight="1">
      <c r="A89" t="inlineStr">
        <is>
          <t>A 39112-2025</t>
        </is>
      </c>
      <c r="B89" t="inlineStr">
        <is>
          <t>avverkningsanmälan</t>
        </is>
      </c>
      <c r="C89" t="inlineStr">
        <is>
          <t>Föryngringsavverkning</t>
        </is>
      </c>
      <c r="D89" s="1" t="n">
        <v>45887</v>
      </c>
      <c r="E89" s="1" t="n">
        <v>46221</v>
      </c>
      <c r="F89" t="inlineStr">
        <is>
          <t>DALARNAS LÄN</t>
        </is>
      </c>
      <c r="G89" t="inlineStr">
        <is>
          <t>GAGNEF</t>
        </is>
      </c>
      <c r="I89" t="n">
        <v>3.1</v>
      </c>
      <c r="J89" t="n">
        <v>0</v>
      </c>
      <c r="K89" t="n">
        <v>0</v>
      </c>
      <c r="L89" t="n">
        <v>0</v>
      </c>
      <c r="M89" t="n">
        <v>0</v>
      </c>
      <c r="N89" t="n">
        <v>0</v>
      </c>
      <c r="O89" t="n">
        <v>0</v>
      </c>
      <c r="P89" t="n">
        <v>0</v>
      </c>
      <c r="Q89" t="n">
        <v>0</v>
      </c>
      <c r="R89" t="n">
        <v>0</v>
      </c>
      <c r="S89" t="n">
        <v>0</v>
      </c>
      <c r="T89" t="n">
        <v>0</v>
      </c>
      <c r="U89" s="2" t="inlineStr"/>
    </row>
    <row r="90" ht="15" customHeight="1">
      <c r="A90" t="inlineStr">
        <is>
          <t>A 7817-2023</t>
        </is>
      </c>
      <c r="B90" t="inlineStr">
        <is>
          <t>avverkningsanmälan</t>
        </is>
      </c>
      <c r="C90" t="inlineStr">
        <is>
          <t>Föryngringsavverkning</t>
        </is>
      </c>
      <c r="D90" s="1" t="n">
        <v>44973</v>
      </c>
      <c r="E90" s="1" t="n">
        <v>46221</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s="2" t="inlineStr"/>
    </row>
    <row r="91" ht="15" customHeight="1">
      <c r="A91" t="inlineStr">
        <is>
          <t>A 43911-2024</t>
        </is>
      </c>
      <c r="B91" t="inlineStr">
        <is>
          <t>avverkningsanmälan</t>
        </is>
      </c>
      <c r="C91" t="inlineStr">
        <is>
          <t>Föryngringsavverkning</t>
        </is>
      </c>
      <c r="D91" s="1" t="n">
        <v>45572</v>
      </c>
      <c r="E91" s="1" t="n">
        <v>46221</v>
      </c>
      <c r="F91" t="inlineStr">
        <is>
          <t>DALARNAS LÄN</t>
        </is>
      </c>
      <c r="G91" t="inlineStr">
        <is>
          <t>GAGNEF</t>
        </is>
      </c>
      <c r="I91" t="n">
        <v>1</v>
      </c>
      <c r="J91" t="n">
        <v>0</v>
      </c>
      <c r="K91" t="n">
        <v>0</v>
      </c>
      <c r="L91" t="n">
        <v>0</v>
      </c>
      <c r="M91" t="n">
        <v>0</v>
      </c>
      <c r="N91" t="n">
        <v>0</v>
      </c>
      <c r="O91" t="n">
        <v>0</v>
      </c>
      <c r="P91" t="n">
        <v>0</v>
      </c>
      <c r="Q91" t="n">
        <v>0</v>
      </c>
      <c r="R91" t="n">
        <v>0</v>
      </c>
      <c r="S91" t="n">
        <v>0</v>
      </c>
      <c r="T91" t="n">
        <v>0</v>
      </c>
      <c r="U91" s="2" t="inlineStr"/>
    </row>
    <row r="92" ht="15" customHeight="1">
      <c r="A92" t="inlineStr">
        <is>
          <t>A 43913-2024</t>
        </is>
      </c>
      <c r="B92" t="inlineStr">
        <is>
          <t>avverkningsanmälan</t>
        </is>
      </c>
      <c r="C92" t="inlineStr">
        <is>
          <t>Föryngringsavverkning</t>
        </is>
      </c>
      <c r="D92" s="1" t="n">
        <v>45572</v>
      </c>
      <c r="E92" s="1" t="n">
        <v>46221</v>
      </c>
      <c r="F92" t="inlineStr">
        <is>
          <t>DALARNAS LÄN</t>
        </is>
      </c>
      <c r="G92" t="inlineStr">
        <is>
          <t>GAGNEF</t>
        </is>
      </c>
      <c r="I92" t="n">
        <v>1.5</v>
      </c>
      <c r="J92" t="n">
        <v>0</v>
      </c>
      <c r="K92" t="n">
        <v>0</v>
      </c>
      <c r="L92" t="n">
        <v>0</v>
      </c>
      <c r="M92" t="n">
        <v>0</v>
      </c>
      <c r="N92" t="n">
        <v>0</v>
      </c>
      <c r="O92" t="n">
        <v>0</v>
      </c>
      <c r="P92" t="n">
        <v>0</v>
      </c>
      <c r="Q92" t="n">
        <v>0</v>
      </c>
      <c r="R92" t="n">
        <v>0</v>
      </c>
      <c r="S92" t="n">
        <v>0</v>
      </c>
      <c r="T92" t="n">
        <v>0</v>
      </c>
      <c r="U92" s="2" t="inlineStr"/>
    </row>
    <row r="93" ht="15" customHeight="1">
      <c r="A93" t="inlineStr">
        <is>
          <t>A 4682-2026</t>
        </is>
      </c>
      <c r="B93" t="inlineStr">
        <is>
          <t>avverkningsanmälan</t>
        </is>
      </c>
      <c r="C93" t="inlineStr">
        <is>
          <t>Föryngringsavverkning</t>
        </is>
      </c>
      <c r="D93" s="1" t="n">
        <v>46048</v>
      </c>
      <c r="E93" s="1" t="n">
        <v>46221</v>
      </c>
      <c r="F93" t="inlineStr">
        <is>
          <t>DALARNAS LÄN</t>
        </is>
      </c>
      <c r="G93" t="inlineStr">
        <is>
          <t>GAGNEF</t>
        </is>
      </c>
      <c r="I93" t="n">
        <v>3.8</v>
      </c>
      <c r="J93" t="n">
        <v>0</v>
      </c>
      <c r="K93" t="n">
        <v>0</v>
      </c>
      <c r="L93" t="n">
        <v>0</v>
      </c>
      <c r="M93" t="n">
        <v>0</v>
      </c>
      <c r="N93" t="n">
        <v>0</v>
      </c>
      <c r="O93" t="n">
        <v>0</v>
      </c>
      <c r="P93" t="n">
        <v>0</v>
      </c>
      <c r="Q93" t="n">
        <v>0</v>
      </c>
      <c r="R93" t="n">
        <v>0</v>
      </c>
      <c r="S93" t="n">
        <v>0</v>
      </c>
      <c r="T93" t="n">
        <v>0</v>
      </c>
      <c r="U93" s="2" t="inlineStr"/>
    </row>
    <row r="94" ht="15" customHeight="1">
      <c r="A94" t="inlineStr">
        <is>
          <t>A 4718-2026</t>
        </is>
      </c>
      <c r="B94" t="inlineStr">
        <is>
          <t>avverkningsanmälan</t>
        </is>
      </c>
      <c r="C94" t="inlineStr">
        <is>
          <t>Föryngringsavverkning</t>
        </is>
      </c>
      <c r="D94" s="1" t="n">
        <v>46048</v>
      </c>
      <c r="E94" s="1" t="n">
        <v>46221</v>
      </c>
      <c r="F94" t="inlineStr">
        <is>
          <t>DALARNAS LÄN</t>
        </is>
      </c>
      <c r="G94" t="inlineStr">
        <is>
          <t>GAGNEF</t>
        </is>
      </c>
      <c r="I94" t="n">
        <v>5.3</v>
      </c>
      <c r="J94" t="n">
        <v>0</v>
      </c>
      <c r="K94" t="n">
        <v>0</v>
      </c>
      <c r="L94" t="n">
        <v>0</v>
      </c>
      <c r="M94" t="n">
        <v>0</v>
      </c>
      <c r="N94" t="n">
        <v>0</v>
      </c>
      <c r="O94" t="n">
        <v>0</v>
      </c>
      <c r="P94" t="n">
        <v>0</v>
      </c>
      <c r="Q94" t="n">
        <v>0</v>
      </c>
      <c r="R94" t="n">
        <v>0</v>
      </c>
      <c r="S94" t="n">
        <v>0</v>
      </c>
      <c r="T94" t="n">
        <v>0</v>
      </c>
      <c r="U94" s="2" t="inlineStr"/>
    </row>
    <row r="95" ht="15" customHeight="1">
      <c r="A95" t="inlineStr">
        <is>
          <t>A 61871-2024</t>
        </is>
      </c>
      <c r="B95" t="inlineStr">
        <is>
          <t>avverkningsanmälan</t>
        </is>
      </c>
      <c r="C95" t="inlineStr">
        <is>
          <t>Föryngringsavverkning</t>
        </is>
      </c>
      <c r="D95" s="1" t="n">
        <v>45651</v>
      </c>
      <c r="E95" s="1" t="n">
        <v>46221</v>
      </c>
      <c r="F95" t="inlineStr">
        <is>
          <t>DALARNAS LÄN</t>
        </is>
      </c>
      <c r="G95" t="inlineStr">
        <is>
          <t>GAGNEF</t>
        </is>
      </c>
      <c r="H95" t="inlineStr">
        <is>
          <t>Bergvik skog väst AB</t>
        </is>
      </c>
      <c r="I95" t="n">
        <v>10</v>
      </c>
      <c r="J95" t="n">
        <v>0</v>
      </c>
      <c r="K95" t="n">
        <v>0</v>
      </c>
      <c r="L95" t="n">
        <v>0</v>
      </c>
      <c r="M95" t="n">
        <v>0</v>
      </c>
      <c r="N95" t="n">
        <v>0</v>
      </c>
      <c r="O95" t="n">
        <v>0</v>
      </c>
      <c r="P95" t="n">
        <v>0</v>
      </c>
      <c r="Q95" t="n">
        <v>0</v>
      </c>
      <c r="R95" t="n">
        <v>0</v>
      </c>
      <c r="S95" t="n">
        <v>0</v>
      </c>
      <c r="T95" t="n">
        <v>0</v>
      </c>
      <c r="U95" s="2" t="inlineStr"/>
    </row>
    <row r="96" ht="15" customHeight="1">
      <c r="A96" t="inlineStr">
        <is>
          <t>A 16388-2022</t>
        </is>
      </c>
      <c r="B96" t="inlineStr">
        <is>
          <t>avverkningsanmälan</t>
        </is>
      </c>
      <c r="C96" t="inlineStr">
        <is>
          <t>Föryngringsavverkning</t>
        </is>
      </c>
      <c r="D96" s="1" t="n">
        <v>44671</v>
      </c>
      <c r="E96" s="1" t="n">
        <v>46221</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s="2" t="inlineStr"/>
    </row>
    <row r="97" ht="15" customHeight="1">
      <c r="A97" t="inlineStr">
        <is>
          <t>A 42704-2024</t>
        </is>
      </c>
      <c r="B97" t="inlineStr">
        <is>
          <t>avverkningsanmälan</t>
        </is>
      </c>
      <c r="C97" t="inlineStr">
        <is>
          <t>Föryngringsavverkning</t>
        </is>
      </c>
      <c r="D97" s="1" t="n">
        <v>45566</v>
      </c>
      <c r="E97" s="1" t="n">
        <v>46221</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s="2" t="inlineStr"/>
    </row>
    <row r="98" ht="15" customHeight="1">
      <c r="A98" t="inlineStr">
        <is>
          <t>A 42713-2024</t>
        </is>
      </c>
      <c r="B98" t="inlineStr">
        <is>
          <t>avverkningsanmälan</t>
        </is>
      </c>
      <c r="C98" t="inlineStr">
        <is>
          <t>Föryngringsavverkning</t>
        </is>
      </c>
      <c r="D98" s="1" t="n">
        <v>45566</v>
      </c>
      <c r="E98" s="1" t="n">
        <v>46221</v>
      </c>
      <c r="F98" t="inlineStr">
        <is>
          <t>DALARNAS LÄN</t>
        </is>
      </c>
      <c r="G98" t="inlineStr">
        <is>
          <t>GAGNEF</t>
        </is>
      </c>
      <c r="I98" t="n">
        <v>1.5</v>
      </c>
      <c r="J98" t="n">
        <v>0</v>
      </c>
      <c r="K98" t="n">
        <v>0</v>
      </c>
      <c r="L98" t="n">
        <v>0</v>
      </c>
      <c r="M98" t="n">
        <v>0</v>
      </c>
      <c r="N98" t="n">
        <v>0</v>
      </c>
      <c r="O98" t="n">
        <v>0</v>
      </c>
      <c r="P98" t="n">
        <v>0</v>
      </c>
      <c r="Q98" t="n">
        <v>0</v>
      </c>
      <c r="R98" t="n">
        <v>0</v>
      </c>
      <c r="S98" t="n">
        <v>0</v>
      </c>
      <c r="T98" t="n">
        <v>0</v>
      </c>
      <c r="U98" s="2" t="inlineStr"/>
    </row>
    <row r="99" ht="15" customHeight="1">
      <c r="A99" t="inlineStr">
        <is>
          <t>A 4686-2026</t>
        </is>
      </c>
      <c r="B99" t="inlineStr">
        <is>
          <t>avverkningsanmälan</t>
        </is>
      </c>
      <c r="C99" t="inlineStr">
        <is>
          <t>Föryngringsavverkning</t>
        </is>
      </c>
      <c r="D99" s="1" t="n">
        <v>46048</v>
      </c>
      <c r="E99" s="1" t="n">
        <v>46221</v>
      </c>
      <c r="F99" t="inlineStr">
        <is>
          <t>DALARNAS LÄN</t>
        </is>
      </c>
      <c r="G99" t="inlineStr">
        <is>
          <t>GAGNEF</t>
        </is>
      </c>
      <c r="I99" t="n">
        <v>4</v>
      </c>
      <c r="J99" t="n">
        <v>0</v>
      </c>
      <c r="K99" t="n">
        <v>0</v>
      </c>
      <c r="L99" t="n">
        <v>0</v>
      </c>
      <c r="M99" t="n">
        <v>0</v>
      </c>
      <c r="N99" t="n">
        <v>0</v>
      </c>
      <c r="O99" t="n">
        <v>0</v>
      </c>
      <c r="P99" t="n">
        <v>0</v>
      </c>
      <c r="Q99" t="n">
        <v>0</v>
      </c>
      <c r="R99" t="n">
        <v>0</v>
      </c>
      <c r="S99" t="n">
        <v>0</v>
      </c>
      <c r="T99" t="n">
        <v>0</v>
      </c>
      <c r="U99" s="2" t="inlineStr"/>
    </row>
    <row r="100" ht="15" customHeight="1">
      <c r="A100" t="inlineStr">
        <is>
          <t>A 29848-2025</t>
        </is>
      </c>
      <c r="B100" t="inlineStr">
        <is>
          <t>avverkningsanmälan</t>
        </is>
      </c>
      <c r="C100" t="inlineStr">
        <is>
          <t>Föryngringsavverkning</t>
        </is>
      </c>
      <c r="D100" s="1" t="n">
        <v>45826</v>
      </c>
      <c r="E100" s="1" t="n">
        <v>46221</v>
      </c>
      <c r="F100" t="inlineStr">
        <is>
          <t>DALARNAS LÄN</t>
        </is>
      </c>
      <c r="G100" t="inlineStr">
        <is>
          <t>GAGNEF</t>
        </is>
      </c>
      <c r="I100" t="n">
        <v>4.1</v>
      </c>
      <c r="J100" t="n">
        <v>0</v>
      </c>
      <c r="K100" t="n">
        <v>0</v>
      </c>
      <c r="L100" t="n">
        <v>0</v>
      </c>
      <c r="M100" t="n">
        <v>0</v>
      </c>
      <c r="N100" t="n">
        <v>0</v>
      </c>
      <c r="O100" t="n">
        <v>0</v>
      </c>
      <c r="P100" t="n">
        <v>0</v>
      </c>
      <c r="Q100" t="n">
        <v>0</v>
      </c>
      <c r="R100" t="n">
        <v>0</v>
      </c>
      <c r="S100" t="n">
        <v>0</v>
      </c>
      <c r="T100" t="n">
        <v>0</v>
      </c>
      <c r="U100" s="2" t="inlineStr"/>
    </row>
    <row r="101" ht="15" customHeight="1">
      <c r="A101" t="inlineStr">
        <is>
          <t>A 30098-2025</t>
        </is>
      </c>
      <c r="B101" t="inlineStr">
        <is>
          <t>avverkningsanmälan</t>
        </is>
      </c>
      <c r="C101" t="inlineStr">
        <is>
          <t>Föryngringsavverkning</t>
        </is>
      </c>
      <c r="D101" s="1" t="n">
        <v>45826</v>
      </c>
      <c r="E101" s="1" t="n">
        <v>46221</v>
      </c>
      <c r="F101" t="inlineStr">
        <is>
          <t>DALARNAS LÄN</t>
        </is>
      </c>
      <c r="G101" t="inlineStr">
        <is>
          <t>GAGNEF</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41368-2023</t>
        </is>
      </c>
      <c r="B102" t="inlineStr">
        <is>
          <t>avverkningsanmälan</t>
        </is>
      </c>
      <c r="C102" t="inlineStr">
        <is>
          <t>Avverkning för annat ändamål</t>
        </is>
      </c>
      <c r="D102" s="1" t="n">
        <v>45174</v>
      </c>
      <c r="E102" s="1" t="n">
        <v>46221</v>
      </c>
      <c r="F102" t="inlineStr">
        <is>
          <t>DALARNAS LÄN</t>
        </is>
      </c>
      <c r="G102" t="inlineStr">
        <is>
          <t>GAGNEF</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5519-2025</t>
        </is>
      </c>
      <c r="B103" t="inlineStr">
        <is>
          <t>avverkningsanmälan</t>
        </is>
      </c>
      <c r="C103" t="inlineStr">
        <is>
          <t>Föryngringsavverkning</t>
        </is>
      </c>
      <c r="D103" s="1" t="n">
        <v>45693</v>
      </c>
      <c r="E103" s="1" t="n">
        <v>46221</v>
      </c>
      <c r="F103" t="inlineStr">
        <is>
          <t>DALARNAS LÄN</t>
        </is>
      </c>
      <c r="G103" t="inlineStr">
        <is>
          <t>GAGNEF</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42298-2025</t>
        </is>
      </c>
      <c r="B104" t="inlineStr">
        <is>
          <t>avverkningsanmälan</t>
        </is>
      </c>
      <c r="C104" t="inlineStr">
        <is>
          <t>Föryngringsavverkning</t>
        </is>
      </c>
      <c r="D104" s="1" t="n">
        <v>45904</v>
      </c>
      <c r="E104" s="1" t="n">
        <v>46221</v>
      </c>
      <c r="F104" t="inlineStr">
        <is>
          <t>DALARNAS LÄN</t>
        </is>
      </c>
      <c r="G104" t="inlineStr">
        <is>
          <t>GAGNEF</t>
        </is>
      </c>
      <c r="H104" t="inlineStr">
        <is>
          <t>Bergvik skog väst AB</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42303-2025</t>
        </is>
      </c>
      <c r="B105" t="inlineStr">
        <is>
          <t>avverkningsanmälan</t>
        </is>
      </c>
      <c r="C105" t="inlineStr">
        <is>
          <t>Föryngringsavverkning</t>
        </is>
      </c>
      <c r="D105" s="1" t="n">
        <v>45904</v>
      </c>
      <c r="E105" s="1" t="n">
        <v>46221</v>
      </c>
      <c r="F105" t="inlineStr">
        <is>
          <t>DALARNAS LÄN</t>
        </is>
      </c>
      <c r="G105" t="inlineStr">
        <is>
          <t>GAGNEF</t>
        </is>
      </c>
      <c r="H105" t="inlineStr">
        <is>
          <t>Bergvik skog väst AB</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5256-2026</t>
        </is>
      </c>
      <c r="B106" t="inlineStr">
        <is>
          <t>avverkningsanmälan</t>
        </is>
      </c>
      <c r="C106" t="inlineStr">
        <is>
          <t>Föryngringsavverkning</t>
        </is>
      </c>
      <c r="D106" s="1" t="n">
        <v>46050</v>
      </c>
      <c r="E106" s="1" t="n">
        <v>46221</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51496-2023</t>
        </is>
      </c>
      <c r="B107" t="inlineStr">
        <is>
          <t>avverkningsanmälan</t>
        </is>
      </c>
      <c r="C107" t="inlineStr">
        <is>
          <t>Föryngringsavverkning</t>
        </is>
      </c>
      <c r="D107" s="1" t="n">
        <v>45222</v>
      </c>
      <c r="E107" s="1" t="n">
        <v>46221</v>
      </c>
      <c r="F107" t="inlineStr">
        <is>
          <t>DALARNAS LÄN</t>
        </is>
      </c>
      <c r="G107" t="inlineStr">
        <is>
          <t>GAGNEF</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19344-2025</t>
        </is>
      </c>
      <c r="B108" t="inlineStr">
        <is>
          <t>avverkningsanmälan</t>
        </is>
      </c>
      <c r="C108" t="inlineStr">
        <is>
          <t>Föryngringsavverkning</t>
        </is>
      </c>
      <c r="D108" s="1" t="n">
        <v>45769</v>
      </c>
      <c r="E108" s="1" t="n">
        <v>46221</v>
      </c>
      <c r="F108" t="inlineStr">
        <is>
          <t>DALARNAS LÄN</t>
        </is>
      </c>
      <c r="G108" t="inlineStr">
        <is>
          <t>GAGNEF</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43564-2025</t>
        </is>
      </c>
      <c r="B109" t="inlineStr">
        <is>
          <t>avverkningsanmälan</t>
        </is>
      </c>
      <c r="C109" t="inlineStr">
        <is>
          <t>Avverkning för annat ändamål</t>
        </is>
      </c>
      <c r="D109" s="1" t="n">
        <v>45911</v>
      </c>
      <c r="E109" s="1" t="n">
        <v>46221</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15629-2022</t>
        </is>
      </c>
      <c r="B110" t="inlineStr">
        <is>
          <t>avverkningsanmälan</t>
        </is>
      </c>
      <c r="C110" t="inlineStr">
        <is>
          <t>Föryngringsavverkning</t>
        </is>
      </c>
      <c r="D110" s="1" t="n">
        <v>44662</v>
      </c>
      <c r="E110" s="1" t="n">
        <v>46221</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52432-2024</t>
        </is>
      </c>
      <c r="B111" t="inlineStr">
        <is>
          <t>avverkningsanmälan</t>
        </is>
      </c>
      <c r="C111" t="inlineStr">
        <is>
          <t>Föryngringsavverkning</t>
        </is>
      </c>
      <c r="D111" s="1" t="n">
        <v>45608</v>
      </c>
      <c r="E111" s="1" t="n">
        <v>46221</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45497-2025</t>
        </is>
      </c>
      <c r="B112" t="inlineStr">
        <is>
          <t>avverkningsanmälan</t>
        </is>
      </c>
      <c r="C112" t="inlineStr">
        <is>
          <t>Föryngringsavverkning</t>
        </is>
      </c>
      <c r="D112" s="1" t="n">
        <v>45922</v>
      </c>
      <c r="E112" s="1" t="n">
        <v>46221</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5686-2026</t>
        </is>
      </c>
      <c r="B113" t="inlineStr">
        <is>
          <t>avverkningsanmälan</t>
        </is>
      </c>
      <c r="C113" t="inlineStr">
        <is>
          <t>Föryngringsavverkning</t>
        </is>
      </c>
      <c r="D113" s="1" t="n">
        <v>46051</v>
      </c>
      <c r="E113" s="1" t="n">
        <v>46221</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34084-2025</t>
        </is>
      </c>
      <c r="B114" t="inlineStr">
        <is>
          <t>avverkningsanmälan</t>
        </is>
      </c>
      <c r="C114" t="inlineStr">
        <is>
          <t>Avverkning för annat ändamål</t>
        </is>
      </c>
      <c r="D114" s="1" t="n">
        <v>45845</v>
      </c>
      <c r="E114" s="1" t="n">
        <v>46221</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57134-2022</t>
        </is>
      </c>
      <c r="B115" t="inlineStr">
        <is>
          <t>avverkningsanmälan</t>
        </is>
      </c>
      <c r="C115" t="inlineStr">
        <is>
          <t>Föryngringsavverkning</t>
        </is>
      </c>
      <c r="D115" s="1" t="n">
        <v>44895</v>
      </c>
      <c r="E115" s="1" t="n">
        <v>46221</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s="2" t="inlineStr"/>
    </row>
    <row r="116" ht="15" customHeight="1">
      <c r="A116" t="inlineStr">
        <is>
          <t>A 34793-2025</t>
        </is>
      </c>
      <c r="B116" t="inlineStr">
        <is>
          <t>avverkningsanmälan</t>
        </is>
      </c>
      <c r="C116" t="inlineStr">
        <is>
          <t>Avverkning för annat ändamål</t>
        </is>
      </c>
      <c r="D116" s="1" t="n">
        <v>45848</v>
      </c>
      <c r="E116" s="1" t="n">
        <v>46221</v>
      </c>
      <c r="F116" t="inlineStr">
        <is>
          <t>DALARNAS LÄN</t>
        </is>
      </c>
      <c r="G116" t="inlineStr">
        <is>
          <t>GAGNEF</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45989-2025</t>
        </is>
      </c>
      <c r="B117" t="inlineStr">
        <is>
          <t>avverkningsanmälan</t>
        </is>
      </c>
      <c r="C117" t="inlineStr">
        <is>
          <t>Föryngringsavverkning</t>
        </is>
      </c>
      <c r="D117" s="1" t="n">
        <v>45924</v>
      </c>
      <c r="E117" s="1" t="n">
        <v>46221</v>
      </c>
      <c r="F117" t="inlineStr">
        <is>
          <t>DALARNAS LÄN</t>
        </is>
      </c>
      <c r="G117" t="inlineStr">
        <is>
          <t>GAGNEF</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322-2024</t>
        </is>
      </c>
      <c r="B118" t="inlineStr">
        <is>
          <t>avverkningsanmälan</t>
        </is>
      </c>
      <c r="C118" t="inlineStr">
        <is>
          <t>Föryngringsavverkning</t>
        </is>
      </c>
      <c r="D118" s="1" t="n">
        <v>45295</v>
      </c>
      <c r="E118" s="1" t="n">
        <v>46221</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s="2" t="inlineStr"/>
    </row>
    <row r="119" ht="15" customHeight="1">
      <c r="A119" t="inlineStr">
        <is>
          <t>A 7601-2024</t>
        </is>
      </c>
      <c r="B119" t="inlineStr">
        <is>
          <t>avverkningsanmälan</t>
        </is>
      </c>
      <c r="C119" t="inlineStr">
        <is>
          <t>Föryngringsavverkning</t>
        </is>
      </c>
      <c r="D119" s="1" t="n">
        <v>45348</v>
      </c>
      <c r="E119" s="1" t="n">
        <v>46221</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52426-2024</t>
        </is>
      </c>
      <c r="B120" t="inlineStr">
        <is>
          <t>avverkningsanmälan</t>
        </is>
      </c>
      <c r="C120" t="inlineStr">
        <is>
          <t>Föryngringsavverkning</t>
        </is>
      </c>
      <c r="D120" s="1" t="n">
        <v>45608</v>
      </c>
      <c r="E120" s="1" t="n">
        <v>46221</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10744-2022</t>
        </is>
      </c>
      <c r="B121" t="inlineStr">
        <is>
          <t>avverkningsanmälan</t>
        </is>
      </c>
      <c r="C121" t="inlineStr">
        <is>
          <t>Föryngringsavverkning</t>
        </is>
      </c>
      <c r="D121" s="1" t="n">
        <v>44627</v>
      </c>
      <c r="E121" s="1" t="n">
        <v>46221</v>
      </c>
      <c r="F121" t="inlineStr">
        <is>
          <t>DALARNAS LÄN</t>
        </is>
      </c>
      <c r="G121" t="inlineStr">
        <is>
          <t>GAGNEF</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6303-2026</t>
        </is>
      </c>
      <c r="B122" t="inlineStr">
        <is>
          <t>avverkningsanmälan</t>
        </is>
      </c>
      <c r="C122" t="inlineStr">
        <is>
          <t>Föryngringsavverkning</t>
        </is>
      </c>
      <c r="D122" s="1" t="n">
        <v>46055</v>
      </c>
      <c r="E122" s="1" t="n">
        <v>46221</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59893-2021</t>
        </is>
      </c>
      <c r="B123" t="inlineStr">
        <is>
          <t>avverkningsanmälan</t>
        </is>
      </c>
      <c r="C123" t="inlineStr">
        <is>
          <t>Föryngringsavverkning</t>
        </is>
      </c>
      <c r="D123" s="1" t="n">
        <v>44494</v>
      </c>
      <c r="E123" s="1" t="n">
        <v>46221</v>
      </c>
      <c r="F123" t="inlineStr">
        <is>
          <t>DALARNAS LÄN</t>
        </is>
      </c>
      <c r="G123" t="inlineStr">
        <is>
          <t>GAGNEF</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47685-2025</t>
        </is>
      </c>
      <c r="B124" t="inlineStr">
        <is>
          <t>avverkningsanmälan</t>
        </is>
      </c>
      <c r="C124" t="inlineStr">
        <is>
          <t>Föryngringsavverkning</t>
        </is>
      </c>
      <c r="D124" s="1" t="n">
        <v>45931</v>
      </c>
      <c r="E124" s="1" t="n">
        <v>46221</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47669-2025</t>
        </is>
      </c>
      <c r="B125" t="inlineStr">
        <is>
          <t>avverkningsanmälan</t>
        </is>
      </c>
      <c r="C125" t="inlineStr">
        <is>
          <t>Föryngringsavverkning</t>
        </is>
      </c>
      <c r="D125" s="1" t="n">
        <v>45931</v>
      </c>
      <c r="E125" s="1" t="n">
        <v>46221</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16118-2023</t>
        </is>
      </c>
      <c r="B126" t="inlineStr">
        <is>
          <t>avverkningsanmälan</t>
        </is>
      </c>
      <c r="C126" t="inlineStr">
        <is>
          <t>Föryngringsavverkning</t>
        </is>
      </c>
      <c r="D126" s="1" t="n">
        <v>45027</v>
      </c>
      <c r="E126" s="1" t="n">
        <v>46221</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47560-2025</t>
        </is>
      </c>
      <c r="B127" t="inlineStr">
        <is>
          <t>avverkningsanmälan</t>
        </is>
      </c>
      <c r="C127" t="inlineStr">
        <is>
          <t>Föryngringsavverkning</t>
        </is>
      </c>
      <c r="D127" s="1" t="n">
        <v>45931</v>
      </c>
      <c r="E127" s="1" t="n">
        <v>46221</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50536-2024</t>
        </is>
      </c>
      <c r="B128" t="inlineStr">
        <is>
          <t>avverkningsanmälan</t>
        </is>
      </c>
      <c r="C128" t="inlineStr">
        <is>
          <t>Föryngringsavverkning</t>
        </is>
      </c>
      <c r="D128" s="1" t="n">
        <v>45601</v>
      </c>
      <c r="E128" s="1" t="n">
        <v>46221</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42308-2021</t>
        </is>
      </c>
      <c r="B129" t="inlineStr">
        <is>
          <t>avverkningsanmälan</t>
        </is>
      </c>
      <c r="C129" t="inlineStr">
        <is>
          <t>Föryngringsavverkning</t>
        </is>
      </c>
      <c r="D129" s="1" t="n">
        <v>44427</v>
      </c>
      <c r="E129" s="1" t="n">
        <v>46221</v>
      </c>
      <c r="F129" t="inlineStr">
        <is>
          <t>DALARNAS LÄN</t>
        </is>
      </c>
      <c r="G129" t="inlineStr">
        <is>
          <t>GAGNEF</t>
        </is>
      </c>
      <c r="H129" t="inlineStr">
        <is>
          <t>Bergvik skog väst AB</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7344-2024</t>
        </is>
      </c>
      <c r="B130" t="inlineStr">
        <is>
          <t>avverkningsanmälan</t>
        </is>
      </c>
      <c r="C130" t="inlineStr">
        <is>
          <t>Föryngringsavverkning</t>
        </is>
      </c>
      <c r="D130" s="1" t="n">
        <v>45345</v>
      </c>
      <c r="E130" s="1" t="n">
        <v>46221</v>
      </c>
      <c r="F130" t="inlineStr">
        <is>
          <t>DALARNAS LÄN</t>
        </is>
      </c>
      <c r="G130" t="inlineStr">
        <is>
          <t>GAGNEF</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49226-2025</t>
        </is>
      </c>
      <c r="B131" t="inlineStr">
        <is>
          <t>avverkningsanmälan</t>
        </is>
      </c>
      <c r="C131" t="inlineStr">
        <is>
          <t>Föryngringsavverkning</t>
        </is>
      </c>
      <c r="D131" s="1" t="n">
        <v>45938</v>
      </c>
      <c r="E131" s="1" t="n">
        <v>46221</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48957-2025</t>
        </is>
      </c>
      <c r="B132" t="inlineStr">
        <is>
          <t>avverkningsanmälan</t>
        </is>
      </c>
      <c r="C132" t="inlineStr">
        <is>
          <t>Föryngringsavverkning</t>
        </is>
      </c>
      <c r="D132" s="1" t="n">
        <v>45937</v>
      </c>
      <c r="E132" s="1" t="n">
        <v>46221</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49229-2025</t>
        </is>
      </c>
      <c r="B133" t="inlineStr">
        <is>
          <t>avverkningsanmälan</t>
        </is>
      </c>
      <c r="C133" t="inlineStr">
        <is>
          <t>Föryngringsavverkning</t>
        </is>
      </c>
      <c r="D133" s="1" t="n">
        <v>45938</v>
      </c>
      <c r="E133" s="1" t="n">
        <v>46221</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20482-2024</t>
        </is>
      </c>
      <c r="B134" t="inlineStr">
        <is>
          <t>avverkningsanmälan</t>
        </is>
      </c>
      <c r="C134" t="inlineStr">
        <is>
          <t>Avverkning för att bevara och utveckla /försöksver</t>
        </is>
      </c>
      <c r="D134" s="1" t="n">
        <v>45435</v>
      </c>
      <c r="E134" s="1" t="n">
        <v>46221</v>
      </c>
      <c r="F134" t="inlineStr">
        <is>
          <t>DALARNAS LÄN</t>
        </is>
      </c>
      <c r="G134" t="inlineStr">
        <is>
          <t>GAGNEF</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47054-2025</t>
        </is>
      </c>
      <c r="B135" t="inlineStr">
        <is>
          <t>avverkningsanmälan</t>
        </is>
      </c>
      <c r="C135" t="inlineStr">
        <is>
          <t>Föryngringsavverkning</t>
        </is>
      </c>
      <c r="D135" s="1" t="n">
        <v>45929</v>
      </c>
      <c r="E135" s="1" t="n">
        <v>46221</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s="2" t="inlineStr"/>
    </row>
    <row r="136" ht="15" customHeight="1">
      <c r="A136" t="inlineStr">
        <is>
          <t>A 49961-2025</t>
        </is>
      </c>
      <c r="B136" t="inlineStr">
        <is>
          <t>avverkningsanmälan</t>
        </is>
      </c>
      <c r="C136" t="inlineStr">
        <is>
          <t>Föryngringsavverkning</t>
        </is>
      </c>
      <c r="D136" s="1" t="n">
        <v>45941</v>
      </c>
      <c r="E136" s="1" t="n">
        <v>46221</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49962-2025</t>
        </is>
      </c>
      <c r="B137" t="inlineStr">
        <is>
          <t>avverkningsanmälan</t>
        </is>
      </c>
      <c r="C137" t="inlineStr">
        <is>
          <t>Föryngringsavverkning</t>
        </is>
      </c>
      <c r="D137" s="1" t="n">
        <v>45941</v>
      </c>
      <c r="E137" s="1" t="n">
        <v>46221</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s="2" t="inlineStr"/>
    </row>
    <row r="138" ht="15" customHeight="1">
      <c r="A138" t="inlineStr">
        <is>
          <t>A 50754-2025</t>
        </is>
      </c>
      <c r="B138" t="inlineStr">
        <is>
          <t>avverkningsanmälan</t>
        </is>
      </c>
      <c r="C138" t="inlineStr">
        <is>
          <t>Föryngringsavverkning</t>
        </is>
      </c>
      <c r="D138" s="1" t="n">
        <v>45946</v>
      </c>
      <c r="E138" s="1" t="n">
        <v>46221</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60885-2024</t>
        </is>
      </c>
      <c r="B139" t="inlineStr">
        <is>
          <t>avverkningsanmälan</t>
        </is>
      </c>
      <c r="C139" t="inlineStr">
        <is>
          <t>Avverkning för annat ändamål</t>
        </is>
      </c>
      <c r="D139" s="1" t="n">
        <v>45644</v>
      </c>
      <c r="E139" s="1" t="n">
        <v>46221</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52136-2025</t>
        </is>
      </c>
      <c r="B140" t="inlineStr">
        <is>
          <t>avverkningsanmälan</t>
        </is>
      </c>
      <c r="C140" t="inlineStr">
        <is>
          <t>Föryngringsavverkning</t>
        </is>
      </c>
      <c r="D140" s="1" t="n">
        <v>45952</v>
      </c>
      <c r="E140" s="1" t="n">
        <v>46221</v>
      </c>
      <c r="F140" t="inlineStr">
        <is>
          <t>DALARNAS LÄN</t>
        </is>
      </c>
      <c r="G140" t="inlineStr">
        <is>
          <t>GAGNEF</t>
        </is>
      </c>
      <c r="I140" t="n">
        <v>5.8</v>
      </c>
      <c r="J140" t="n">
        <v>0</v>
      </c>
      <c r="K140" t="n">
        <v>0</v>
      </c>
      <c r="L140" t="n">
        <v>0</v>
      </c>
      <c r="M140" t="n">
        <v>0</v>
      </c>
      <c r="N140" t="n">
        <v>0</v>
      </c>
      <c r="O140" t="n">
        <v>0</v>
      </c>
      <c r="P140" t="n">
        <v>0</v>
      </c>
      <c r="Q140" t="n">
        <v>0</v>
      </c>
      <c r="R140" t="n">
        <v>0</v>
      </c>
      <c r="S140" t="n">
        <v>0</v>
      </c>
      <c r="T140" t="n">
        <v>0</v>
      </c>
      <c r="U140" s="2" t="inlineStr"/>
    </row>
    <row r="141" ht="15" customHeight="1">
      <c r="A141" t="inlineStr">
        <is>
          <t>A 52738-2025</t>
        </is>
      </c>
      <c r="B141" t="inlineStr">
        <is>
          <t>avverkningsanmälan</t>
        </is>
      </c>
      <c r="C141" t="inlineStr">
        <is>
          <t>Föryngringsavverkning</t>
        </is>
      </c>
      <c r="D141" s="1" t="n">
        <v>45957</v>
      </c>
      <c r="E141" s="1" t="n">
        <v>46221</v>
      </c>
      <c r="F141" t="inlineStr">
        <is>
          <t>DALARNAS LÄN</t>
        </is>
      </c>
      <c r="G141" t="inlineStr">
        <is>
          <t>GAGNEF</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63084-2025</t>
        </is>
      </c>
      <c r="B142" t="inlineStr">
        <is>
          <t>avverkningsanmälan</t>
        </is>
      </c>
      <c r="C142" t="inlineStr">
        <is>
          <t>Föryngringsavverkning</t>
        </is>
      </c>
      <c r="D142" s="1" t="n">
        <v>46009</v>
      </c>
      <c r="E142" s="1" t="n">
        <v>46221</v>
      </c>
      <c r="F142" t="inlineStr">
        <is>
          <t>DALARNAS LÄN</t>
        </is>
      </c>
      <c r="G142" t="inlineStr">
        <is>
          <t>GAGNEF</t>
        </is>
      </c>
      <c r="H142" t="inlineStr">
        <is>
          <t>Kyrkan</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3316-2022</t>
        </is>
      </c>
      <c r="B143" t="inlineStr">
        <is>
          <t>avverkningsanmälan</t>
        </is>
      </c>
      <c r="C143" t="inlineStr">
        <is>
          <t>Avverkning för annat ändamål</t>
        </is>
      </c>
      <c r="D143" s="1" t="n">
        <v>44585</v>
      </c>
      <c r="E143" s="1" t="n">
        <v>46221</v>
      </c>
      <c r="F143" t="inlineStr">
        <is>
          <t>DALARNAS LÄN</t>
        </is>
      </c>
      <c r="G143" t="inlineStr">
        <is>
          <t>GAGNEF</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66613-2021</t>
        </is>
      </c>
      <c r="B144" t="inlineStr">
        <is>
          <t>avverkningsanmälan</t>
        </is>
      </c>
      <c r="C144" t="inlineStr">
        <is>
          <t>Avverkning för annat ändamål</t>
        </is>
      </c>
      <c r="D144" s="1" t="n">
        <v>44519</v>
      </c>
      <c r="E144" s="1" t="n">
        <v>46221</v>
      </c>
      <c r="F144" t="inlineStr">
        <is>
          <t>DALARNAS LÄN</t>
        </is>
      </c>
      <c r="G144" t="inlineStr">
        <is>
          <t>GAGNEF</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36127-2024</t>
        </is>
      </c>
      <c r="B145" t="inlineStr">
        <is>
          <t>avverkningsanmälan</t>
        </is>
      </c>
      <c r="C145" t="inlineStr">
        <is>
          <t>Föryngringsavverkning</t>
        </is>
      </c>
      <c r="D145" s="1" t="n">
        <v>45534</v>
      </c>
      <c r="E145" s="1" t="n">
        <v>46221</v>
      </c>
      <c r="F145" t="inlineStr">
        <is>
          <t>DALARNAS LÄN</t>
        </is>
      </c>
      <c r="G145" t="inlineStr">
        <is>
          <t>GAGNEF</t>
        </is>
      </c>
      <c r="H145" t="inlineStr">
        <is>
          <t>Bergvik skog väst AB</t>
        </is>
      </c>
      <c r="I145" t="n">
        <v>3.4</v>
      </c>
      <c r="J145" t="n">
        <v>0</v>
      </c>
      <c r="K145" t="n">
        <v>0</v>
      </c>
      <c r="L145" t="n">
        <v>0</v>
      </c>
      <c r="M145" t="n">
        <v>0</v>
      </c>
      <c r="N145" t="n">
        <v>0</v>
      </c>
      <c r="O145" t="n">
        <v>0</v>
      </c>
      <c r="P145" t="n">
        <v>0</v>
      </c>
      <c r="Q145" t="n">
        <v>0</v>
      </c>
      <c r="R145" t="n">
        <v>0</v>
      </c>
      <c r="S145" t="n">
        <v>0</v>
      </c>
      <c r="T145" t="n">
        <v>0</v>
      </c>
      <c r="U145" s="2" t="inlineStr"/>
    </row>
    <row r="146" ht="15" customHeight="1">
      <c r="A146" t="inlineStr">
        <is>
          <t>A 36132-2024</t>
        </is>
      </c>
      <c r="B146" t="inlineStr">
        <is>
          <t>avverkningsanmälan</t>
        </is>
      </c>
      <c r="C146" t="inlineStr">
        <is>
          <t>Föryngringsavverkning</t>
        </is>
      </c>
      <c r="D146" s="1" t="n">
        <v>45534</v>
      </c>
      <c r="E146" s="1" t="n">
        <v>46221</v>
      </c>
      <c r="F146" t="inlineStr">
        <is>
          <t>DALARNAS LÄN</t>
        </is>
      </c>
      <c r="G146" t="inlineStr">
        <is>
          <t>GAGNEF</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63325-2025</t>
        </is>
      </c>
      <c r="B147" t="inlineStr">
        <is>
          <t>avverkningsanmälan</t>
        </is>
      </c>
      <c r="C147" t="inlineStr">
        <is>
          <t>Föryngringsavverkning</t>
        </is>
      </c>
      <c r="D147" s="1" t="n">
        <v>46010</v>
      </c>
      <c r="E147" s="1" t="n">
        <v>46221</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491-2025</t>
        </is>
      </c>
      <c r="B148" t="inlineStr">
        <is>
          <t>avverkningsanmälan</t>
        </is>
      </c>
      <c r="C148" t="inlineStr">
        <is>
          <t>Föryngringsavverkning</t>
        </is>
      </c>
      <c r="D148" s="1" t="n">
        <v>45664</v>
      </c>
      <c r="E148" s="1" t="n">
        <v>46221</v>
      </c>
      <c r="F148" t="inlineStr">
        <is>
          <t>DALARNAS LÄN</t>
        </is>
      </c>
      <c r="G148" t="inlineStr">
        <is>
          <t>GAGNEF</t>
        </is>
      </c>
      <c r="H148" t="inlineStr">
        <is>
          <t>Övriga statliga verk och myndigheter</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2916-2026</t>
        </is>
      </c>
      <c r="B149" t="inlineStr">
        <is>
          <t>avverkningsanmälan</t>
        </is>
      </c>
      <c r="C149" t="inlineStr">
        <is>
          <t>Föryngringsavverkning</t>
        </is>
      </c>
      <c r="D149" s="1" t="n">
        <v>46038</v>
      </c>
      <c r="E149" s="1" t="n">
        <v>46221</v>
      </c>
      <c r="F149" t="inlineStr">
        <is>
          <t>DALARNAS LÄN</t>
        </is>
      </c>
      <c r="G149" t="inlineStr">
        <is>
          <t>GAGNEF</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15965-2023</t>
        </is>
      </c>
      <c r="B150" t="inlineStr">
        <is>
          <t>avverkningsanmälan</t>
        </is>
      </c>
      <c r="C150" t="inlineStr">
        <is>
          <t>Föryngringsavverkning</t>
        </is>
      </c>
      <c r="D150" s="1" t="n">
        <v>45022</v>
      </c>
      <c r="E150" s="1" t="n">
        <v>46221</v>
      </c>
      <c r="F150" t="inlineStr">
        <is>
          <t>DALARNAS LÄN</t>
        </is>
      </c>
      <c r="G150" t="inlineStr">
        <is>
          <t>GAGNEF</t>
        </is>
      </c>
      <c r="H150" t="inlineStr">
        <is>
          <t>Bergvik skog väst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54018-2025</t>
        </is>
      </c>
      <c r="B151" t="inlineStr">
        <is>
          <t>avverkningsanmälan</t>
        </is>
      </c>
      <c r="C151" t="inlineStr">
        <is>
          <t>Föryngringsavverkning</t>
        </is>
      </c>
      <c r="D151" s="1" t="n">
        <v>45961</v>
      </c>
      <c r="E151" s="1" t="n">
        <v>46221</v>
      </c>
      <c r="F151" t="inlineStr">
        <is>
          <t>DALARNAS LÄN</t>
        </is>
      </c>
      <c r="G151" t="inlineStr">
        <is>
          <t>GAGNEF</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708-2026</t>
        </is>
      </c>
      <c r="B152" t="inlineStr">
        <is>
          <t>avverkningsanmälan</t>
        </is>
      </c>
      <c r="C152" t="inlineStr">
        <is>
          <t>Avverkning för att bevara och utveckla /försöksver</t>
        </is>
      </c>
      <c r="D152" s="1" t="n">
        <v>46029</v>
      </c>
      <c r="E152" s="1" t="n">
        <v>46221</v>
      </c>
      <c r="F152" t="inlineStr">
        <is>
          <t>DALARNAS LÄN</t>
        </is>
      </c>
      <c r="G152" t="inlineStr">
        <is>
          <t>GAGNEF</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41365-2023</t>
        </is>
      </c>
      <c r="B153" t="inlineStr">
        <is>
          <t>avverkningsanmälan</t>
        </is>
      </c>
      <c r="C153" t="inlineStr">
        <is>
          <t>Föryngringsavverkning</t>
        </is>
      </c>
      <c r="D153" s="1" t="n">
        <v>45174</v>
      </c>
      <c r="E153" s="1" t="n">
        <v>46221</v>
      </c>
      <c r="F153" t="inlineStr">
        <is>
          <t>DALARNAS LÄN</t>
        </is>
      </c>
      <c r="G153" t="inlineStr">
        <is>
          <t>GAGNEF</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53917-2025</t>
        </is>
      </c>
      <c r="B154" t="inlineStr">
        <is>
          <t>avverkningsanmälan</t>
        </is>
      </c>
      <c r="C154" t="inlineStr">
        <is>
          <t>Avverkning för annat ändamål</t>
        </is>
      </c>
      <c r="D154" s="1" t="n">
        <v>45961</v>
      </c>
      <c r="E154" s="1" t="n">
        <v>46221</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30957-2023</t>
        </is>
      </c>
      <c r="B155" t="inlineStr">
        <is>
          <t>avverkningsanmälan</t>
        </is>
      </c>
      <c r="C155" t="inlineStr">
        <is>
          <t>Avverkning för annat ändamål</t>
        </is>
      </c>
      <c r="D155" s="1" t="n">
        <v>45113</v>
      </c>
      <c r="E155" s="1" t="n">
        <v>46221</v>
      </c>
      <c r="F155" t="inlineStr">
        <is>
          <t>DALARNAS LÄN</t>
        </is>
      </c>
      <c r="G155" t="inlineStr">
        <is>
          <t>GAGNEF</t>
        </is>
      </c>
      <c r="H155" t="inlineStr">
        <is>
          <t>Bergvik skog väst AB</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10328-2026</t>
        </is>
      </c>
      <c r="B156" t="inlineStr">
        <is>
          <t>avverkningsanmälan</t>
        </is>
      </c>
      <c r="C156" t="inlineStr">
        <is>
          <t>Föryngringsavverkning</t>
        </is>
      </c>
      <c r="D156" s="1" t="n">
        <v>46076</v>
      </c>
      <c r="E156" s="1" t="n">
        <v>46221</v>
      </c>
      <c r="F156" t="inlineStr">
        <is>
          <t>DALARNAS LÄN</t>
        </is>
      </c>
      <c r="G156" t="inlineStr">
        <is>
          <t>GAGNEF</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54285-2025</t>
        </is>
      </c>
      <c r="B157" t="inlineStr">
        <is>
          <t>avverkningsanmälan</t>
        </is>
      </c>
      <c r="C157" t="inlineStr">
        <is>
          <t>Föryngringsavverkning</t>
        </is>
      </c>
      <c r="D157" s="1" t="n">
        <v>45964</v>
      </c>
      <c r="E157" s="1" t="n">
        <v>46221</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52159-2023</t>
        </is>
      </c>
      <c r="B158" t="inlineStr">
        <is>
          <t>avverkningsanmälan</t>
        </is>
      </c>
      <c r="C158" t="inlineStr">
        <is>
          <t>Föryngringsavverkning</t>
        </is>
      </c>
      <c r="D158" s="1" t="n">
        <v>45224</v>
      </c>
      <c r="E158" s="1" t="n">
        <v>46221</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337-2025</t>
        </is>
      </c>
      <c r="B159" t="inlineStr">
        <is>
          <t>avverkningsanmälan</t>
        </is>
      </c>
      <c r="C159" t="inlineStr">
        <is>
          <t>Föryngringsavverkning</t>
        </is>
      </c>
      <c r="D159" s="1" t="n">
        <v>45660</v>
      </c>
      <c r="E159" s="1" t="n">
        <v>46221</v>
      </c>
      <c r="F159" t="inlineStr">
        <is>
          <t>DALARNAS LÄN</t>
        </is>
      </c>
      <c r="G159" t="inlineStr">
        <is>
          <t>GAGNEF</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5859-2025</t>
        </is>
      </c>
      <c r="B160" t="inlineStr">
        <is>
          <t>avverkningsanmälan</t>
        </is>
      </c>
      <c r="C160" t="inlineStr">
        <is>
          <t>Föryngringsavverkning</t>
        </is>
      </c>
      <c r="D160" s="1" t="n">
        <v>45695</v>
      </c>
      <c r="E160" s="1" t="n">
        <v>46221</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55801-2025</t>
        </is>
      </c>
      <c r="B161" t="inlineStr">
        <is>
          <t>avverkningsanmälan</t>
        </is>
      </c>
      <c r="C161" t="inlineStr">
        <is>
          <t>Föryngringsavverkning</t>
        </is>
      </c>
      <c r="D161" s="1" t="n">
        <v>45972</v>
      </c>
      <c r="E161" s="1" t="n">
        <v>46221</v>
      </c>
      <c r="F161" t="inlineStr">
        <is>
          <t>DALARNAS LÄN</t>
        </is>
      </c>
      <c r="G161" t="inlineStr">
        <is>
          <t>GAGNEF</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63203-2023</t>
        </is>
      </c>
      <c r="B162" t="inlineStr">
        <is>
          <t>avverkningsanmälan</t>
        </is>
      </c>
      <c r="C162" t="inlineStr">
        <is>
          <t>Föryngringsavverkning</t>
        </is>
      </c>
      <c r="D162" s="1" t="n">
        <v>45273</v>
      </c>
      <c r="E162" s="1" t="n">
        <v>46221</v>
      </c>
      <c r="F162" t="inlineStr">
        <is>
          <t>DALARNAS LÄN</t>
        </is>
      </c>
      <c r="G162" t="inlineStr">
        <is>
          <t>GAGNEF</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55838-2025</t>
        </is>
      </c>
      <c r="B163" t="inlineStr">
        <is>
          <t>avverkningsanmälan</t>
        </is>
      </c>
      <c r="C163" t="inlineStr">
        <is>
          <t>Föryngringsavverkning</t>
        </is>
      </c>
      <c r="D163" s="1" t="n">
        <v>45972</v>
      </c>
      <c r="E163" s="1" t="n">
        <v>46221</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16858-2025</t>
        </is>
      </c>
      <c r="B164" t="inlineStr">
        <is>
          <t>avverkningsanmälan</t>
        </is>
      </c>
      <c r="C164" t="inlineStr">
        <is>
          <t>Avverkning för annat ändamål</t>
        </is>
      </c>
      <c r="D164" s="1" t="n">
        <v>45751</v>
      </c>
      <c r="E164" s="1" t="n">
        <v>46221</v>
      </c>
      <c r="F164" t="inlineStr">
        <is>
          <t>DALARNAS LÄN</t>
        </is>
      </c>
      <c r="G164" t="inlineStr">
        <is>
          <t>GAGNEF</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11311-2026</t>
        </is>
      </c>
      <c r="B165" t="inlineStr">
        <is>
          <t>avverkningsanmälan</t>
        </is>
      </c>
      <c r="C165" t="inlineStr">
        <is>
          <t>Föryngringsavverkning</t>
        </is>
      </c>
      <c r="D165" s="1" t="n">
        <v>46080</v>
      </c>
      <c r="E165" s="1" t="n">
        <v>46221</v>
      </c>
      <c r="F165" t="inlineStr">
        <is>
          <t>DALARNAS LÄN</t>
        </is>
      </c>
      <c r="G165" t="inlineStr">
        <is>
          <t>GAGNEF</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57135-2025</t>
        </is>
      </c>
      <c r="B166" t="inlineStr">
        <is>
          <t>avverkningsanmälan</t>
        </is>
      </c>
      <c r="C166" t="inlineStr">
        <is>
          <t>Föryngringsavverkning</t>
        </is>
      </c>
      <c r="D166" s="1" t="n">
        <v>45979</v>
      </c>
      <c r="E166" s="1" t="n">
        <v>46221</v>
      </c>
      <c r="F166" t="inlineStr">
        <is>
          <t>DALARNAS LÄN</t>
        </is>
      </c>
      <c r="G166" t="inlineStr">
        <is>
          <t>GAGNEF</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3818-2025</t>
        </is>
      </c>
      <c r="B167" t="inlineStr">
        <is>
          <t>avverkningsanmälan</t>
        </is>
      </c>
      <c r="C167" t="inlineStr">
        <is>
          <t>Föryngringsavverkning</t>
        </is>
      </c>
      <c r="D167" s="1" t="n">
        <v>45681</v>
      </c>
      <c r="E167" s="1" t="n">
        <v>46221</v>
      </c>
      <c r="F167" t="inlineStr">
        <is>
          <t>DALARNAS LÄN</t>
        </is>
      </c>
      <c r="G167" t="inlineStr">
        <is>
          <t>GAGNEF</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3819-2025</t>
        </is>
      </c>
      <c r="B168" t="inlineStr">
        <is>
          <t>avverkningsanmälan</t>
        </is>
      </c>
      <c r="C168" t="inlineStr">
        <is>
          <t>Föryngringsavverkning</t>
        </is>
      </c>
      <c r="D168" s="1" t="n">
        <v>45681</v>
      </c>
      <c r="E168" s="1" t="n">
        <v>46221</v>
      </c>
      <c r="F168" t="inlineStr">
        <is>
          <t>DALARNAS LÄN</t>
        </is>
      </c>
      <c r="G168" t="inlineStr">
        <is>
          <t>GAGNEF</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41366-2023</t>
        </is>
      </c>
      <c r="B169" t="inlineStr">
        <is>
          <t>avverkningsanmälan</t>
        </is>
      </c>
      <c r="C169" t="inlineStr">
        <is>
          <t>Föryngringsavverkning</t>
        </is>
      </c>
      <c r="D169" s="1" t="n">
        <v>45174</v>
      </c>
      <c r="E169" s="1" t="n">
        <v>46221</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44040-2024</t>
        </is>
      </c>
      <c r="B170" t="inlineStr">
        <is>
          <t>avverkningsanmälan</t>
        </is>
      </c>
      <c r="C170" t="inlineStr">
        <is>
          <t>Föryngringsavverkning</t>
        </is>
      </c>
      <c r="D170" s="1" t="n">
        <v>45572</v>
      </c>
      <c r="E170" s="1" t="n">
        <v>46221</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s="2" t="inlineStr"/>
    </row>
    <row r="171" ht="15" customHeight="1">
      <c r="A171" t="inlineStr">
        <is>
          <t>A 59580-2025</t>
        </is>
      </c>
      <c r="B171" t="inlineStr">
        <is>
          <t>avverkningsanmälan</t>
        </is>
      </c>
      <c r="C171" t="inlineStr">
        <is>
          <t>Föryngringsavverkning</t>
        </is>
      </c>
      <c r="D171" s="1" t="n">
        <v>45992</v>
      </c>
      <c r="E171" s="1" t="n">
        <v>46221</v>
      </c>
      <c r="F171" t="inlineStr">
        <is>
          <t>DALARNAS LÄN</t>
        </is>
      </c>
      <c r="G171" t="inlineStr">
        <is>
          <t>GAGNEF</t>
        </is>
      </c>
      <c r="I171" t="n">
        <v>4.5</v>
      </c>
      <c r="J171" t="n">
        <v>0</v>
      </c>
      <c r="K171" t="n">
        <v>0</v>
      </c>
      <c r="L171" t="n">
        <v>0</v>
      </c>
      <c r="M171" t="n">
        <v>0</v>
      </c>
      <c r="N171" t="n">
        <v>0</v>
      </c>
      <c r="O171" t="n">
        <v>0</v>
      </c>
      <c r="P171" t="n">
        <v>0</v>
      </c>
      <c r="Q171" t="n">
        <v>0</v>
      </c>
      <c r="R171" t="n">
        <v>0</v>
      </c>
      <c r="S171" t="n">
        <v>0</v>
      </c>
      <c r="T171" t="n">
        <v>0</v>
      </c>
      <c r="U171" s="2" t="inlineStr"/>
    </row>
    <row r="172" ht="15" customHeight="1">
      <c r="A172" t="inlineStr">
        <is>
          <t>A 60572-2025</t>
        </is>
      </c>
      <c r="B172" t="inlineStr">
        <is>
          <t>avverkningsanmälan</t>
        </is>
      </c>
      <c r="C172" t="inlineStr">
        <is>
          <t>Föryngringsavverkning</t>
        </is>
      </c>
      <c r="D172" s="1" t="n">
        <v>45995</v>
      </c>
      <c r="E172" s="1" t="n">
        <v>46221</v>
      </c>
      <c r="F172" t="inlineStr">
        <is>
          <t>DALARNAS LÄN</t>
        </is>
      </c>
      <c r="G172" t="inlineStr">
        <is>
          <t>GAGNEF</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38723-2025</t>
        </is>
      </c>
      <c r="B173" t="inlineStr">
        <is>
          <t>avverkningsanmälan</t>
        </is>
      </c>
      <c r="C173" t="inlineStr">
        <is>
          <t>Föryngringsavverkning</t>
        </is>
      </c>
      <c r="D173" s="1" t="n">
        <v>45886</v>
      </c>
      <c r="E173" s="1" t="n">
        <v>46221</v>
      </c>
      <c r="F173" t="inlineStr">
        <is>
          <t>DALARNAS LÄN</t>
        </is>
      </c>
      <c r="G173" t="inlineStr">
        <is>
          <t>GAGNEF</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17710-2023</t>
        </is>
      </c>
      <c r="B174" t="inlineStr">
        <is>
          <t>avverkningsanmälan</t>
        </is>
      </c>
      <c r="C174" t="inlineStr">
        <is>
          <t>Föryngringsavverkning</t>
        </is>
      </c>
      <c r="D174" s="1" t="n">
        <v>45037</v>
      </c>
      <c r="E174" s="1" t="n">
        <v>46221</v>
      </c>
      <c r="F174" t="inlineStr">
        <is>
          <t>DALARNAS LÄN</t>
        </is>
      </c>
      <c r="G174" t="inlineStr">
        <is>
          <t>GAGNEF</t>
        </is>
      </c>
      <c r="I174" t="n">
        <v>10.7</v>
      </c>
      <c r="J174" t="n">
        <v>0</v>
      </c>
      <c r="K174" t="n">
        <v>0</v>
      </c>
      <c r="L174" t="n">
        <v>0</v>
      </c>
      <c r="M174" t="n">
        <v>0</v>
      </c>
      <c r="N174" t="n">
        <v>0</v>
      </c>
      <c r="O174" t="n">
        <v>0</v>
      </c>
      <c r="P174" t="n">
        <v>0</v>
      </c>
      <c r="Q174" t="n">
        <v>0</v>
      </c>
      <c r="R174" t="n">
        <v>0</v>
      </c>
      <c r="S174" t="n">
        <v>0</v>
      </c>
      <c r="T174" t="n">
        <v>0</v>
      </c>
      <c r="U174" s="2" t="inlineStr"/>
    </row>
    <row r="175" ht="15" customHeight="1">
      <c r="A175" t="inlineStr">
        <is>
          <t>A 54181-2025</t>
        </is>
      </c>
      <c r="B175" t="inlineStr">
        <is>
          <t>avverkningsanmälan</t>
        </is>
      </c>
      <c r="C175" t="inlineStr">
        <is>
          <t>Avverkning för annat ändamål</t>
        </is>
      </c>
      <c r="D175" s="1" t="n">
        <v>45964</v>
      </c>
      <c r="E175" s="1" t="n">
        <v>46221</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63184-2025</t>
        </is>
      </c>
      <c r="B176" t="inlineStr">
        <is>
          <t>avverkningsanmälan</t>
        </is>
      </c>
      <c r="C176" t="inlineStr">
        <is>
          <t>Föryngringsavverkning</t>
        </is>
      </c>
      <c r="D176" s="1" t="n">
        <v>46010</v>
      </c>
      <c r="E176" s="1" t="n">
        <v>46221</v>
      </c>
      <c r="F176" t="inlineStr">
        <is>
          <t>DALARNAS LÄN</t>
        </is>
      </c>
      <c r="G176" t="inlineStr">
        <is>
          <t>GAGNEF</t>
        </is>
      </c>
      <c r="I176" t="n">
        <v>4.3</v>
      </c>
      <c r="J176" t="n">
        <v>0</v>
      </c>
      <c r="K176" t="n">
        <v>0</v>
      </c>
      <c r="L176" t="n">
        <v>0</v>
      </c>
      <c r="M176" t="n">
        <v>0</v>
      </c>
      <c r="N176" t="n">
        <v>0</v>
      </c>
      <c r="O176" t="n">
        <v>0</v>
      </c>
      <c r="P176" t="n">
        <v>0</v>
      </c>
      <c r="Q176" t="n">
        <v>0</v>
      </c>
      <c r="R176" t="n">
        <v>0</v>
      </c>
      <c r="S176" t="n">
        <v>0</v>
      </c>
      <c r="T176" t="n">
        <v>0</v>
      </c>
      <c r="U176" s="2" t="inlineStr"/>
    </row>
    <row r="177" ht="15" customHeight="1">
      <c r="A177" t="inlineStr">
        <is>
          <t>A 54178-2025</t>
        </is>
      </c>
      <c r="B177" t="inlineStr">
        <is>
          <t>avverkningsanmälan</t>
        </is>
      </c>
      <c r="C177" t="inlineStr">
        <is>
          <t>Avverkning för annat ändamål</t>
        </is>
      </c>
      <c r="D177" s="1" t="n">
        <v>45964</v>
      </c>
      <c r="E177" s="1" t="n">
        <v>46221</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63707-2025</t>
        </is>
      </c>
      <c r="B178" t="inlineStr">
        <is>
          <t>avverkningsanmälan</t>
        </is>
      </c>
      <c r="C178" t="inlineStr">
        <is>
          <t>Föryngringsavverkning</t>
        </is>
      </c>
      <c r="D178" s="1" t="n">
        <v>46014</v>
      </c>
      <c r="E178" s="1" t="n">
        <v>46221</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s="2" t="inlineStr"/>
    </row>
    <row r="179" ht="15" customHeight="1">
      <c r="A179" t="inlineStr">
        <is>
          <t>A 15184-2026</t>
        </is>
      </c>
      <c r="B179" t="inlineStr">
        <is>
          <t>avverkningsanmälan</t>
        </is>
      </c>
      <c r="C179" t="inlineStr">
        <is>
          <t>Föryngringsavverkning</t>
        </is>
      </c>
      <c r="D179" s="1" t="n">
        <v>46105</v>
      </c>
      <c r="E179" s="1" t="n">
        <v>46221</v>
      </c>
      <c r="F179" t="inlineStr">
        <is>
          <t>DALARNAS LÄN</t>
        </is>
      </c>
      <c r="G179" t="inlineStr">
        <is>
          <t>GAGNEF</t>
        </is>
      </c>
      <c r="H179" t="inlineStr">
        <is>
          <t>Bergvik skog väst AB</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45706-2024</t>
        </is>
      </c>
      <c r="B180" t="inlineStr">
        <is>
          <t>avverkningsanmälan</t>
        </is>
      </c>
      <c r="C180" t="inlineStr">
        <is>
          <t>Föryngringsavverkning</t>
        </is>
      </c>
      <c r="D180" s="1" t="n">
        <v>45579</v>
      </c>
      <c r="E180" s="1" t="n">
        <v>46221</v>
      </c>
      <c r="F180" t="inlineStr">
        <is>
          <t>DALARNAS LÄN</t>
        </is>
      </c>
      <c r="G180" t="inlineStr">
        <is>
          <t>GAGNEF</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63796-2025</t>
        </is>
      </c>
      <c r="B181" t="inlineStr">
        <is>
          <t>avverkningsanmälan</t>
        </is>
      </c>
      <c r="C181" t="inlineStr">
        <is>
          <t>Föryngringsavverkning</t>
        </is>
      </c>
      <c r="D181" s="1" t="n">
        <v>46019</v>
      </c>
      <c r="E181" s="1" t="n">
        <v>46221</v>
      </c>
      <c r="F181" t="inlineStr">
        <is>
          <t>DALARNAS LÄN</t>
        </is>
      </c>
      <c r="G181" t="inlineStr">
        <is>
          <t>GAGNEF</t>
        </is>
      </c>
      <c r="I181" t="n">
        <v>12.8</v>
      </c>
      <c r="J181" t="n">
        <v>0</v>
      </c>
      <c r="K181" t="n">
        <v>0</v>
      </c>
      <c r="L181" t="n">
        <v>0</v>
      </c>
      <c r="M181" t="n">
        <v>0</v>
      </c>
      <c r="N181" t="n">
        <v>0</v>
      </c>
      <c r="O181" t="n">
        <v>0</v>
      </c>
      <c r="P181" t="n">
        <v>0</v>
      </c>
      <c r="Q181" t="n">
        <v>0</v>
      </c>
      <c r="R181" t="n">
        <v>0</v>
      </c>
      <c r="S181" t="n">
        <v>0</v>
      </c>
      <c r="T181" t="n">
        <v>0</v>
      </c>
      <c r="U181" s="2" t="inlineStr"/>
    </row>
    <row r="182" ht="15" customHeight="1">
      <c r="A182" t="inlineStr">
        <is>
          <t>A 131-2026</t>
        </is>
      </c>
      <c r="B182" t="inlineStr">
        <is>
          <t>avverkningsanmälan</t>
        </is>
      </c>
      <c r="C182" t="inlineStr">
        <is>
          <t>Föryngringsavverkning</t>
        </is>
      </c>
      <c r="D182" s="1" t="n">
        <v>46024</v>
      </c>
      <c r="E182" s="1" t="n">
        <v>46221</v>
      </c>
      <c r="F182" t="inlineStr">
        <is>
          <t>DALARNAS LÄN</t>
        </is>
      </c>
      <c r="G182" t="inlineStr">
        <is>
          <t>GAGNEF</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117-2026</t>
        </is>
      </c>
      <c r="B183" t="inlineStr">
        <is>
          <t>avverkningsanmälan</t>
        </is>
      </c>
      <c r="C183" t="inlineStr">
        <is>
          <t>Föryngringsavverkning</t>
        </is>
      </c>
      <c r="D183" s="1" t="n">
        <v>46024</v>
      </c>
      <c r="E183" s="1" t="n">
        <v>46221</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55-2026</t>
        </is>
      </c>
      <c r="B184" t="inlineStr">
        <is>
          <t>avverkningsanmälan</t>
        </is>
      </c>
      <c r="C184" t="inlineStr">
        <is>
          <t>Föryngringsavverkning</t>
        </is>
      </c>
      <c r="D184" s="1" t="n">
        <v>46024</v>
      </c>
      <c r="E184" s="1" t="n">
        <v>46221</v>
      </c>
      <c r="F184" t="inlineStr">
        <is>
          <t>DALARNAS LÄN</t>
        </is>
      </c>
      <c r="G184" t="inlineStr">
        <is>
          <t>GAGNEF</t>
        </is>
      </c>
      <c r="I184" t="n">
        <v>6.5</v>
      </c>
      <c r="J184" t="n">
        <v>0</v>
      </c>
      <c r="K184" t="n">
        <v>0</v>
      </c>
      <c r="L184" t="n">
        <v>0</v>
      </c>
      <c r="M184" t="n">
        <v>0</v>
      </c>
      <c r="N184" t="n">
        <v>0</v>
      </c>
      <c r="O184" t="n">
        <v>0</v>
      </c>
      <c r="P184" t="n">
        <v>0</v>
      </c>
      <c r="Q184" t="n">
        <v>0</v>
      </c>
      <c r="R184" t="n">
        <v>0</v>
      </c>
      <c r="S184" t="n">
        <v>0</v>
      </c>
      <c r="T184" t="n">
        <v>0</v>
      </c>
      <c r="U184" s="2" t="inlineStr"/>
    </row>
    <row r="185" ht="15" customHeight="1">
      <c r="A185" t="inlineStr">
        <is>
          <t>A 120-2026</t>
        </is>
      </c>
      <c r="B185" t="inlineStr">
        <is>
          <t>avverkningsanmälan</t>
        </is>
      </c>
      <c r="C185" t="inlineStr">
        <is>
          <t>Föryngringsavverkning</t>
        </is>
      </c>
      <c r="D185" s="1" t="n">
        <v>46024</v>
      </c>
      <c r="E185" s="1" t="n">
        <v>46221</v>
      </c>
      <c r="F185" t="inlineStr">
        <is>
          <t>DALARNAS LÄN</t>
        </is>
      </c>
      <c r="G185" t="inlineStr">
        <is>
          <t>GAGNEF</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115-2026</t>
        </is>
      </c>
      <c r="B186" t="inlineStr">
        <is>
          <t>avverkningsanmälan</t>
        </is>
      </c>
      <c r="C186" t="inlineStr">
        <is>
          <t>Föryngringsavverkning</t>
        </is>
      </c>
      <c r="D186" s="1" t="n">
        <v>46024</v>
      </c>
      <c r="E186" s="1" t="n">
        <v>46221</v>
      </c>
      <c r="F186" t="inlineStr">
        <is>
          <t>DALARNAS LÄN</t>
        </is>
      </c>
      <c r="G186" t="inlineStr">
        <is>
          <t>GAGNEF</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126-2026</t>
        </is>
      </c>
      <c r="B187" t="inlineStr">
        <is>
          <t>avverkningsanmälan</t>
        </is>
      </c>
      <c r="C187" t="inlineStr">
        <is>
          <t>Föryngringsavverkning</t>
        </is>
      </c>
      <c r="D187" s="1" t="n">
        <v>46024</v>
      </c>
      <c r="E187" s="1" t="n">
        <v>46221</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134-2026</t>
        </is>
      </c>
      <c r="B188" t="inlineStr">
        <is>
          <t>avverkningsanmälan</t>
        </is>
      </c>
      <c r="C188" t="inlineStr">
        <is>
          <t>Föryngringsavverkning</t>
        </is>
      </c>
      <c r="D188" s="1" t="n">
        <v>46024</v>
      </c>
      <c r="E188" s="1" t="n">
        <v>46221</v>
      </c>
      <c r="F188" t="inlineStr">
        <is>
          <t>DALARNAS LÄN</t>
        </is>
      </c>
      <c r="G188" t="inlineStr">
        <is>
          <t>GAGNEF</t>
        </is>
      </c>
      <c r="I188" t="n">
        <v>4.7</v>
      </c>
      <c r="J188" t="n">
        <v>0</v>
      </c>
      <c r="K188" t="n">
        <v>0</v>
      </c>
      <c r="L188" t="n">
        <v>0</v>
      </c>
      <c r="M188" t="n">
        <v>0</v>
      </c>
      <c r="N188" t="n">
        <v>0</v>
      </c>
      <c r="O188" t="n">
        <v>0</v>
      </c>
      <c r="P188" t="n">
        <v>0</v>
      </c>
      <c r="Q188" t="n">
        <v>0</v>
      </c>
      <c r="R188" t="n">
        <v>0</v>
      </c>
      <c r="S188" t="n">
        <v>0</v>
      </c>
      <c r="T188" t="n">
        <v>0</v>
      </c>
      <c r="U188" s="2" t="inlineStr"/>
    </row>
    <row r="189" ht="15" customHeight="1">
      <c r="A189" t="inlineStr">
        <is>
          <t>A 340-2026</t>
        </is>
      </c>
      <c r="B189" t="inlineStr">
        <is>
          <t>avverkningsanmälan</t>
        </is>
      </c>
      <c r="C189" t="inlineStr">
        <is>
          <t>Föryngringsavverkning</t>
        </is>
      </c>
      <c r="D189" s="1" t="n">
        <v>46027</v>
      </c>
      <c r="E189" s="1" t="n">
        <v>46221</v>
      </c>
      <c r="F189" t="inlineStr">
        <is>
          <t>DALARNAS LÄN</t>
        </is>
      </c>
      <c r="G189" t="inlineStr">
        <is>
          <t>GAGNEF</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1100-2026</t>
        </is>
      </c>
      <c r="B190" t="inlineStr">
        <is>
          <t>avverkningsanmälan</t>
        </is>
      </c>
      <c r="C190" t="inlineStr">
        <is>
          <t>Föryngringsavverkning</t>
        </is>
      </c>
      <c r="D190" s="1" t="n">
        <v>46030</v>
      </c>
      <c r="E190" s="1" t="n">
        <v>46221</v>
      </c>
      <c r="F190" t="inlineStr">
        <is>
          <t>DALARNAS LÄN</t>
        </is>
      </c>
      <c r="G190" t="inlineStr">
        <is>
          <t>GAGNEF</t>
        </is>
      </c>
      <c r="I190" t="n">
        <v>10.7</v>
      </c>
      <c r="J190" t="n">
        <v>0</v>
      </c>
      <c r="K190" t="n">
        <v>0</v>
      </c>
      <c r="L190" t="n">
        <v>0</v>
      </c>
      <c r="M190" t="n">
        <v>0</v>
      </c>
      <c r="N190" t="n">
        <v>0</v>
      </c>
      <c r="O190" t="n">
        <v>0</v>
      </c>
      <c r="P190" t="n">
        <v>0</v>
      </c>
      <c r="Q190" t="n">
        <v>0</v>
      </c>
      <c r="R190" t="n">
        <v>0</v>
      </c>
      <c r="S190" t="n">
        <v>0</v>
      </c>
      <c r="T190" t="n">
        <v>0</v>
      </c>
      <c r="U190" s="2" t="inlineStr"/>
    </row>
    <row r="191" ht="15" customHeight="1">
      <c r="A191" t="inlineStr">
        <is>
          <t>A 1411-2026</t>
        </is>
      </c>
      <c r="B191" t="inlineStr">
        <is>
          <t>avverkningsanmälan</t>
        </is>
      </c>
      <c r="C191" t="inlineStr">
        <is>
          <t>Föryngringsavverkning</t>
        </is>
      </c>
      <c r="D191" s="1" t="n">
        <v>46031</v>
      </c>
      <c r="E191" s="1" t="n">
        <v>46221</v>
      </c>
      <c r="F191" t="inlineStr">
        <is>
          <t>DALARNAS LÄN</t>
        </is>
      </c>
      <c r="G191" t="inlineStr">
        <is>
          <t>GAGNEF</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1430-2026</t>
        </is>
      </c>
      <c r="B192" t="inlineStr">
        <is>
          <t>avverkningsanmälan</t>
        </is>
      </c>
      <c r="C192" t="inlineStr">
        <is>
          <t>Föryngringsavverkning</t>
        </is>
      </c>
      <c r="D192" s="1" t="n">
        <v>46032</v>
      </c>
      <c r="E192" s="1" t="n">
        <v>46221</v>
      </c>
      <c r="F192" t="inlineStr">
        <is>
          <t>DALARNAS LÄN</t>
        </is>
      </c>
      <c r="G192" t="inlineStr">
        <is>
          <t>GAGNEF</t>
        </is>
      </c>
      <c r="I192" t="n">
        <v>4.2</v>
      </c>
      <c r="J192" t="n">
        <v>0</v>
      </c>
      <c r="K192" t="n">
        <v>0</v>
      </c>
      <c r="L192" t="n">
        <v>0</v>
      </c>
      <c r="M192" t="n">
        <v>0</v>
      </c>
      <c r="N192" t="n">
        <v>0</v>
      </c>
      <c r="O192" t="n">
        <v>0</v>
      </c>
      <c r="P192" t="n">
        <v>0</v>
      </c>
      <c r="Q192" t="n">
        <v>0</v>
      </c>
      <c r="R192" t="n">
        <v>0</v>
      </c>
      <c r="S192" t="n">
        <v>0</v>
      </c>
      <c r="T192" t="n">
        <v>0</v>
      </c>
      <c r="U192" s="2" t="inlineStr"/>
    </row>
    <row r="193" ht="15" customHeight="1">
      <c r="A193" t="inlineStr">
        <is>
          <t>A 1431-2026</t>
        </is>
      </c>
      <c r="B193" t="inlineStr">
        <is>
          <t>avverkningsanmälan</t>
        </is>
      </c>
      <c r="C193" t="inlineStr">
        <is>
          <t>Föryngringsavverkning</t>
        </is>
      </c>
      <c r="D193" s="1" t="n">
        <v>46032</v>
      </c>
      <c r="E193" s="1" t="n">
        <v>46221</v>
      </c>
      <c r="F193" t="inlineStr">
        <is>
          <t>DALARNAS LÄN</t>
        </is>
      </c>
      <c r="G193" t="inlineStr">
        <is>
          <t>GAGNEF</t>
        </is>
      </c>
      <c r="I193" t="n">
        <v>8.4</v>
      </c>
      <c r="J193" t="n">
        <v>0</v>
      </c>
      <c r="K193" t="n">
        <v>0</v>
      </c>
      <c r="L193" t="n">
        <v>0</v>
      </c>
      <c r="M193" t="n">
        <v>0</v>
      </c>
      <c r="N193" t="n">
        <v>0</v>
      </c>
      <c r="O193" t="n">
        <v>0</v>
      </c>
      <c r="P193" t="n">
        <v>0</v>
      </c>
      <c r="Q193" t="n">
        <v>0</v>
      </c>
      <c r="R193" t="n">
        <v>0</v>
      </c>
      <c r="S193" t="n">
        <v>0</v>
      </c>
      <c r="T193" t="n">
        <v>0</v>
      </c>
      <c r="U193" s="2" t="inlineStr"/>
    </row>
    <row r="194" ht="15" customHeight="1">
      <c r="A194" t="inlineStr">
        <is>
          <t>A 1276-2026</t>
        </is>
      </c>
      <c r="B194" t="inlineStr">
        <is>
          <t>avverkningsanmälan</t>
        </is>
      </c>
      <c r="C194" t="inlineStr">
        <is>
          <t>Föryngringsavverkning</t>
        </is>
      </c>
      <c r="D194" s="1" t="n">
        <v>46031</v>
      </c>
      <c r="E194" s="1" t="n">
        <v>46221</v>
      </c>
      <c r="F194" t="inlineStr">
        <is>
          <t>DALARNAS LÄN</t>
        </is>
      </c>
      <c r="G194" t="inlineStr">
        <is>
          <t>GAGNEF</t>
        </is>
      </c>
      <c r="I194" t="n">
        <v>5.6</v>
      </c>
      <c r="J194" t="n">
        <v>0</v>
      </c>
      <c r="K194" t="n">
        <v>0</v>
      </c>
      <c r="L194" t="n">
        <v>0</v>
      </c>
      <c r="M194" t="n">
        <v>0</v>
      </c>
      <c r="N194" t="n">
        <v>0</v>
      </c>
      <c r="O194" t="n">
        <v>0</v>
      </c>
      <c r="P194" t="n">
        <v>0</v>
      </c>
      <c r="Q194" t="n">
        <v>0</v>
      </c>
      <c r="R194" t="n">
        <v>0</v>
      </c>
      <c r="S194" t="n">
        <v>0</v>
      </c>
      <c r="T194" t="n">
        <v>0</v>
      </c>
      <c r="U194" s="2" t="inlineStr"/>
    </row>
    <row r="195" ht="15" customHeight="1">
      <c r="A195" t="inlineStr">
        <is>
          <t>A 15548-2026</t>
        </is>
      </c>
      <c r="B195" t="inlineStr">
        <is>
          <t>avverkningsanmälan</t>
        </is>
      </c>
      <c r="C195" t="inlineStr">
        <is>
          <t>Föryngringsavverkning</t>
        </is>
      </c>
      <c r="D195" s="1" t="n">
        <v>46106</v>
      </c>
      <c r="E195" s="1" t="n">
        <v>46221</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s="2" t="inlineStr"/>
    </row>
    <row r="196" ht="15" customHeight="1">
      <c r="A196" t="inlineStr">
        <is>
          <t>A 15945-2026</t>
        </is>
      </c>
      <c r="B196" t="inlineStr">
        <is>
          <t>avverkningsanmälan</t>
        </is>
      </c>
      <c r="C196" t="inlineStr">
        <is>
          <t>Föryngringsavverkning</t>
        </is>
      </c>
      <c r="D196" s="1" t="n">
        <v>46107</v>
      </c>
      <c r="E196" s="1" t="n">
        <v>46221</v>
      </c>
      <c r="F196" t="inlineStr">
        <is>
          <t>DALARNAS LÄN</t>
        </is>
      </c>
      <c r="G196" t="inlineStr">
        <is>
          <t>GAGNEF</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1367-2026</t>
        </is>
      </c>
      <c r="B197" t="inlineStr">
        <is>
          <t>avverkningsanmälan</t>
        </is>
      </c>
      <c r="C197" t="inlineStr">
        <is>
          <t>Föryngringsavverkning</t>
        </is>
      </c>
      <c r="D197" s="1" t="n">
        <v>46031</v>
      </c>
      <c r="E197" s="1" t="n">
        <v>46221</v>
      </c>
      <c r="F197" t="inlineStr">
        <is>
          <t>DALARNAS LÄN</t>
        </is>
      </c>
      <c r="G197" t="inlineStr">
        <is>
          <t>GAGNEF</t>
        </is>
      </c>
      <c r="I197" t="n">
        <v>14.8</v>
      </c>
      <c r="J197" t="n">
        <v>0</v>
      </c>
      <c r="K197" t="n">
        <v>0</v>
      </c>
      <c r="L197" t="n">
        <v>0</v>
      </c>
      <c r="M197" t="n">
        <v>0</v>
      </c>
      <c r="N197" t="n">
        <v>0</v>
      </c>
      <c r="O197" t="n">
        <v>0</v>
      </c>
      <c r="P197" t="n">
        <v>0</v>
      </c>
      <c r="Q197" t="n">
        <v>0</v>
      </c>
      <c r="R197" t="n">
        <v>0</v>
      </c>
      <c r="S197" t="n">
        <v>0</v>
      </c>
      <c r="T197" t="n">
        <v>0</v>
      </c>
      <c r="U197" s="2" t="inlineStr"/>
    </row>
    <row r="198" ht="15" customHeight="1">
      <c r="A198" t="inlineStr">
        <is>
          <t>A 52437-2024</t>
        </is>
      </c>
      <c r="B198" t="inlineStr">
        <is>
          <t>avverkningsanmälan</t>
        </is>
      </c>
      <c r="C198" t="inlineStr">
        <is>
          <t>Föryngringsavverkning</t>
        </is>
      </c>
      <c r="D198" s="1" t="n">
        <v>45608</v>
      </c>
      <c r="E198" s="1" t="n">
        <v>46221</v>
      </c>
      <c r="F198" t="inlineStr">
        <is>
          <t>DALARNAS LÄN</t>
        </is>
      </c>
      <c r="G198" t="inlineStr">
        <is>
          <t>GAGNEF</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1584-2026</t>
        </is>
      </c>
      <c r="B199" t="inlineStr">
        <is>
          <t>avverkningsanmälan</t>
        </is>
      </c>
      <c r="C199" t="inlineStr">
        <is>
          <t>Föryngringsavverkning</t>
        </is>
      </c>
      <c r="D199" s="1" t="n">
        <v>46034</v>
      </c>
      <c r="E199" s="1" t="n">
        <v>46221</v>
      </c>
      <c r="F199" t="inlineStr">
        <is>
          <t>DALARNAS LÄN</t>
        </is>
      </c>
      <c r="G199" t="inlineStr">
        <is>
          <t>GAGNEF</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15942-2026</t>
        </is>
      </c>
      <c r="B200" t="inlineStr">
        <is>
          <t>avverkningsanmälan</t>
        </is>
      </c>
      <c r="C200" t="inlineStr">
        <is>
          <t>Föryngringsavverkning</t>
        </is>
      </c>
      <c r="D200" s="1" t="n">
        <v>46107</v>
      </c>
      <c r="E200" s="1" t="n">
        <v>46221</v>
      </c>
      <c r="F200" t="inlineStr">
        <is>
          <t>DALARNAS LÄN</t>
        </is>
      </c>
      <c r="G200" t="inlineStr">
        <is>
          <t>GAGNEF</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28559-2024</t>
        </is>
      </c>
      <c r="B201" t="inlineStr">
        <is>
          <t>avverkningsanmälan</t>
        </is>
      </c>
      <c r="C201" t="inlineStr">
        <is>
          <t>Föryngringsavverkning</t>
        </is>
      </c>
      <c r="D201" s="1" t="n">
        <v>45478</v>
      </c>
      <c r="E201" s="1" t="n">
        <v>46221</v>
      </c>
      <c r="F201" t="inlineStr">
        <is>
          <t>DALARNAS LÄN</t>
        </is>
      </c>
      <c r="G201" t="inlineStr">
        <is>
          <t>GAGNEF</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18412-2024</t>
        </is>
      </c>
      <c r="B202" t="inlineStr">
        <is>
          <t>avverkningsanmälan</t>
        </is>
      </c>
      <c r="C202" t="inlineStr">
        <is>
          <t>Föryngringsavverkning</t>
        </is>
      </c>
      <c r="D202" s="1" t="n">
        <v>45425</v>
      </c>
      <c r="E202" s="1" t="n">
        <v>46221</v>
      </c>
      <c r="F202" t="inlineStr">
        <is>
          <t>DALARNAS LÄN</t>
        </is>
      </c>
      <c r="G202" t="inlineStr">
        <is>
          <t>GAGNEF</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4375-2024</t>
        </is>
      </c>
      <c r="B203" t="inlineStr">
        <is>
          <t>avverkningsanmälan</t>
        </is>
      </c>
      <c r="C203" t="inlineStr">
        <is>
          <t>Föryngringsavverkning</t>
        </is>
      </c>
      <c r="D203" s="1" t="n">
        <v>45326</v>
      </c>
      <c r="E203" s="1" t="n">
        <v>46221</v>
      </c>
      <c r="F203" t="inlineStr">
        <is>
          <t>DALARNAS LÄN</t>
        </is>
      </c>
      <c r="G203" t="inlineStr">
        <is>
          <t>GAGNEF</t>
        </is>
      </c>
      <c r="I203" t="n">
        <v>9.300000000000001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22596-2024</t>
        </is>
      </c>
      <c r="B204" t="inlineStr">
        <is>
          <t>avverkningsanmälan</t>
        </is>
      </c>
      <c r="C204" t="inlineStr">
        <is>
          <t>Föryngringsavverkning</t>
        </is>
      </c>
      <c r="D204" s="1" t="n">
        <v>45447</v>
      </c>
      <c r="E204" s="1" t="n">
        <v>46221</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17732-2026</t>
        </is>
      </c>
      <c r="B205" t="inlineStr">
        <is>
          <t>avverkningsanmälan</t>
        </is>
      </c>
      <c r="C205" t="inlineStr">
        <is>
          <t>Föryngringsavverkning</t>
        </is>
      </c>
      <c r="D205" s="1" t="n">
        <v>46121</v>
      </c>
      <c r="E205" s="1" t="n">
        <v>46221</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44572-2024</t>
        </is>
      </c>
      <c r="B206" t="inlineStr">
        <is>
          <t>avverkningsanmälan</t>
        </is>
      </c>
      <c r="C206" t="inlineStr">
        <is>
          <t>Föryngringsavverkning</t>
        </is>
      </c>
      <c r="D206" s="1" t="n">
        <v>45574</v>
      </c>
      <c r="E206" s="1" t="n">
        <v>46221</v>
      </c>
      <c r="F206" t="inlineStr">
        <is>
          <t>DALARNAS LÄN</t>
        </is>
      </c>
      <c r="G206" t="inlineStr">
        <is>
          <t>GAGNEF</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42677-2024</t>
        </is>
      </c>
      <c r="B207" t="inlineStr">
        <is>
          <t>avverkningsanmälan</t>
        </is>
      </c>
      <c r="C207" t="inlineStr">
        <is>
          <t>Föryngringsavverkning</t>
        </is>
      </c>
      <c r="D207" s="1" t="n">
        <v>45566</v>
      </c>
      <c r="E207" s="1" t="n">
        <v>46221</v>
      </c>
      <c r="F207" t="inlineStr">
        <is>
          <t>DALARNAS LÄN</t>
        </is>
      </c>
      <c r="G207" t="inlineStr">
        <is>
          <t>GAGNEF</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18038-2026</t>
        </is>
      </c>
      <c r="B208" t="inlineStr">
        <is>
          <t>avverkningsanmälan</t>
        </is>
      </c>
      <c r="C208" t="inlineStr">
        <is>
          <t>Föryngringsavverkning</t>
        </is>
      </c>
      <c r="D208" s="1" t="n">
        <v>46125</v>
      </c>
      <c r="E208" s="1" t="n">
        <v>46221</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68330-2021</t>
        </is>
      </c>
      <c r="B209" t="inlineStr">
        <is>
          <t>avverkningsanmälan</t>
        </is>
      </c>
      <c r="C209" t="inlineStr">
        <is>
          <t>Föryngringsavverkning</t>
        </is>
      </c>
      <c r="D209" s="1" t="n">
        <v>44527</v>
      </c>
      <c r="E209" s="1" t="n">
        <v>46221</v>
      </c>
      <c r="F209" t="inlineStr">
        <is>
          <t>DALARNAS LÄN</t>
        </is>
      </c>
      <c r="G209" t="inlineStr">
        <is>
          <t>GAGNEF</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15684-2024</t>
        </is>
      </c>
      <c r="B210" t="inlineStr">
        <is>
          <t>avverkningsanmälan</t>
        </is>
      </c>
      <c r="C210" t="inlineStr">
        <is>
          <t>Föryngringsavverkning</t>
        </is>
      </c>
      <c r="D210" s="1" t="n">
        <v>45404</v>
      </c>
      <c r="E210" s="1" t="n">
        <v>46221</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11261-2026</t>
        </is>
      </c>
      <c r="B211" t="inlineStr">
        <is>
          <t>avverkningsanmälan</t>
        </is>
      </c>
      <c r="C211" t="inlineStr">
        <is>
          <t>Föryngringsavverkning</t>
        </is>
      </c>
      <c r="D211" s="1" t="n">
        <v>46080</v>
      </c>
      <c r="E211" s="1" t="n">
        <v>46221</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25024-2023</t>
        </is>
      </c>
      <c r="B212" t="inlineStr">
        <is>
          <t>avverkningsanmälan</t>
        </is>
      </c>
      <c r="C212" t="inlineStr">
        <is>
          <t>Föryngringsavverkning</t>
        </is>
      </c>
      <c r="D212" s="1" t="n">
        <v>45085</v>
      </c>
      <c r="E212" s="1" t="n">
        <v>46221</v>
      </c>
      <c r="F212" t="inlineStr">
        <is>
          <t>DALARNAS LÄN</t>
        </is>
      </c>
      <c r="G212" t="inlineStr">
        <is>
          <t>GAGNEF</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63952-2021</t>
        </is>
      </c>
      <c r="B213" t="inlineStr">
        <is>
          <t>avverkningsanmälan</t>
        </is>
      </c>
      <c r="C213" t="inlineStr">
        <is>
          <t>Föryngringsavverkning</t>
        </is>
      </c>
      <c r="D213" s="1" t="n">
        <v>44509</v>
      </c>
      <c r="E213" s="1" t="n">
        <v>46221</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10995-2024</t>
        </is>
      </c>
      <c r="B214" t="inlineStr">
        <is>
          <t>avverkningsanmälan</t>
        </is>
      </c>
      <c r="C214" t="inlineStr">
        <is>
          <t>Föryngringsavverkning</t>
        </is>
      </c>
      <c r="D214" s="1" t="n">
        <v>45370</v>
      </c>
      <c r="E214" s="1" t="n">
        <v>46221</v>
      </c>
      <c r="F214" t="inlineStr">
        <is>
          <t>DALARNAS LÄN</t>
        </is>
      </c>
      <c r="G214" t="inlineStr">
        <is>
          <t>GAGNEF</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44546-2024</t>
        </is>
      </c>
      <c r="B215" t="inlineStr">
        <is>
          <t>avverkningsanmälan</t>
        </is>
      </c>
      <c r="C215" t="inlineStr">
        <is>
          <t>Föryngringsavverkning</t>
        </is>
      </c>
      <c r="D215" s="1" t="n">
        <v>45574</v>
      </c>
      <c r="E215" s="1" t="n">
        <v>46221</v>
      </c>
      <c r="F215" t="inlineStr">
        <is>
          <t>DALARNAS LÄN</t>
        </is>
      </c>
      <c r="G215" t="inlineStr">
        <is>
          <t>GAGNEF</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1479-2025</t>
        </is>
      </c>
      <c r="B216" t="inlineStr">
        <is>
          <t>avverkningsanmälan</t>
        </is>
      </c>
      <c r="C216" t="inlineStr">
        <is>
          <t>Föryngringsavverkning</t>
        </is>
      </c>
      <c r="D216" s="1" t="n">
        <v>45670</v>
      </c>
      <c r="E216" s="1" t="n">
        <v>46221</v>
      </c>
      <c r="F216" t="inlineStr">
        <is>
          <t>DALARNAS LÄN</t>
        </is>
      </c>
      <c r="G216" t="inlineStr">
        <is>
          <t>GAGNEF</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1481-2025</t>
        </is>
      </c>
      <c r="B217" t="inlineStr">
        <is>
          <t>avverkningsanmälan</t>
        </is>
      </c>
      <c r="C217" t="inlineStr">
        <is>
          <t>Föryngringsavverkning</t>
        </is>
      </c>
      <c r="D217" s="1" t="n">
        <v>45670</v>
      </c>
      <c r="E217" s="1" t="n">
        <v>46221</v>
      </c>
      <c r="F217" t="inlineStr">
        <is>
          <t>DALARNAS LÄN</t>
        </is>
      </c>
      <c r="G217" t="inlineStr">
        <is>
          <t>GAGNEF</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36005-2023</t>
        </is>
      </c>
      <c r="B218" t="inlineStr">
        <is>
          <t>avverkningsanmälan</t>
        </is>
      </c>
      <c r="C218" t="inlineStr">
        <is>
          <t>Föryngringsavverkning</t>
        </is>
      </c>
      <c r="D218" s="1" t="n">
        <v>45148</v>
      </c>
      <c r="E218" s="1" t="n">
        <v>46221</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63648-2023</t>
        </is>
      </c>
      <c r="B219" t="inlineStr">
        <is>
          <t>avverkningsanmälan</t>
        </is>
      </c>
      <c r="C219" t="inlineStr">
        <is>
          <t>Föryngringsavverkning</t>
        </is>
      </c>
      <c r="D219" s="1" t="n">
        <v>45275</v>
      </c>
      <c r="E219" s="1" t="n">
        <v>46221</v>
      </c>
      <c r="F219" t="inlineStr">
        <is>
          <t>DALARNAS LÄN</t>
        </is>
      </c>
      <c r="G219" t="inlineStr">
        <is>
          <t>GAGNEF</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19197-2023</t>
        </is>
      </c>
      <c r="B220" t="inlineStr">
        <is>
          <t>avverkningsanmälan</t>
        </is>
      </c>
      <c r="C220" t="inlineStr">
        <is>
          <t>Föryngringsavverkning</t>
        </is>
      </c>
      <c r="D220" s="1" t="n">
        <v>45048</v>
      </c>
      <c r="E220" s="1" t="n">
        <v>46221</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11397-2026</t>
        </is>
      </c>
      <c r="B221" t="inlineStr">
        <is>
          <t>avverkningsanmälan</t>
        </is>
      </c>
      <c r="C221" t="inlineStr">
        <is>
          <t>Föryngringsavverkning</t>
        </is>
      </c>
      <c r="D221" s="1" t="n">
        <v>46083</v>
      </c>
      <c r="E221" s="1" t="n">
        <v>46221</v>
      </c>
      <c r="F221" t="inlineStr">
        <is>
          <t>DALARNAS LÄN</t>
        </is>
      </c>
      <c r="G221" t="inlineStr">
        <is>
          <t>GAGNEF</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4601-2026</t>
        </is>
      </c>
      <c r="B222" t="inlineStr">
        <is>
          <t>avverkningsanmälan</t>
        </is>
      </c>
      <c r="C222" t="inlineStr">
        <is>
          <t>Föryngringsavverkning</t>
        </is>
      </c>
      <c r="D222" s="1" t="n">
        <v>46048</v>
      </c>
      <c r="E222" s="1" t="n">
        <v>46221</v>
      </c>
      <c r="F222" t="inlineStr">
        <is>
          <t>DALARNAS LÄN</t>
        </is>
      </c>
      <c r="G222" t="inlineStr">
        <is>
          <t>GAGNEF</t>
        </is>
      </c>
      <c r="H222" t="inlineStr">
        <is>
          <t>Bergvik skog väst AB</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19033-2024</t>
        </is>
      </c>
      <c r="B223" t="inlineStr">
        <is>
          <t>avverkningsanmälan</t>
        </is>
      </c>
      <c r="C223" t="inlineStr">
        <is>
          <t>Föryngringsavverkning</t>
        </is>
      </c>
      <c r="D223" s="1" t="n">
        <v>45427</v>
      </c>
      <c r="E223" s="1" t="n">
        <v>46221</v>
      </c>
      <c r="F223" t="inlineStr">
        <is>
          <t>DALARNAS LÄN</t>
        </is>
      </c>
      <c r="G223" t="inlineStr">
        <is>
          <t>GAGNEF</t>
        </is>
      </c>
      <c r="I223" t="n">
        <v>7.2</v>
      </c>
      <c r="J223" t="n">
        <v>0</v>
      </c>
      <c r="K223" t="n">
        <v>0</v>
      </c>
      <c r="L223" t="n">
        <v>0</v>
      </c>
      <c r="M223" t="n">
        <v>0</v>
      </c>
      <c r="N223" t="n">
        <v>0</v>
      </c>
      <c r="O223" t="n">
        <v>0</v>
      </c>
      <c r="P223" t="n">
        <v>0</v>
      </c>
      <c r="Q223" t="n">
        <v>0</v>
      </c>
      <c r="R223" t="n">
        <v>0</v>
      </c>
      <c r="S223" t="n">
        <v>0</v>
      </c>
      <c r="T223" t="n">
        <v>0</v>
      </c>
      <c r="U223" s="2" t="inlineStr"/>
    </row>
    <row r="224" ht="15" customHeight="1">
      <c r="A224" t="inlineStr">
        <is>
          <t>A 38426-2024</t>
        </is>
      </c>
      <c r="B224" t="inlineStr">
        <is>
          <t>avverkningsanmälan</t>
        </is>
      </c>
      <c r="C224" t="inlineStr">
        <is>
          <t>Föryngringsavverkning</t>
        </is>
      </c>
      <c r="D224" s="1" t="n">
        <v>45546</v>
      </c>
      <c r="E224" s="1" t="n">
        <v>46221</v>
      </c>
      <c r="F224" t="inlineStr">
        <is>
          <t>DALARNAS LÄN</t>
        </is>
      </c>
      <c r="G224" t="inlineStr">
        <is>
          <t>GAGNEF</t>
        </is>
      </c>
      <c r="H224" t="inlineStr">
        <is>
          <t>Bergvik skog väst AB</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43915-2024</t>
        </is>
      </c>
      <c r="B225" t="inlineStr">
        <is>
          <t>avverkningsanmälan</t>
        </is>
      </c>
      <c r="C225" t="inlineStr">
        <is>
          <t>Föryngringsavverkning</t>
        </is>
      </c>
      <c r="D225" s="1" t="n">
        <v>45572</v>
      </c>
      <c r="E225" s="1" t="n">
        <v>46221</v>
      </c>
      <c r="F225" t="inlineStr">
        <is>
          <t>DALARNAS LÄN</t>
        </is>
      </c>
      <c r="G225" t="inlineStr">
        <is>
          <t>GAGNEF</t>
        </is>
      </c>
      <c r="I225" t="n">
        <v>3.5</v>
      </c>
      <c r="J225" t="n">
        <v>0</v>
      </c>
      <c r="K225" t="n">
        <v>0</v>
      </c>
      <c r="L225" t="n">
        <v>0</v>
      </c>
      <c r="M225" t="n">
        <v>0</v>
      </c>
      <c r="N225" t="n">
        <v>0</v>
      </c>
      <c r="O225" t="n">
        <v>0</v>
      </c>
      <c r="P225" t="n">
        <v>0</v>
      </c>
      <c r="Q225" t="n">
        <v>0</v>
      </c>
      <c r="R225" t="n">
        <v>0</v>
      </c>
      <c r="S225" t="n">
        <v>0</v>
      </c>
      <c r="T225" t="n">
        <v>0</v>
      </c>
      <c r="U225" s="2" t="inlineStr"/>
    </row>
    <row r="226" ht="15" customHeight="1">
      <c r="A226" t="inlineStr">
        <is>
          <t>A 26300-2026</t>
        </is>
      </c>
      <c r="B226" t="inlineStr">
        <is>
          <t>avverkningsanmälan</t>
        </is>
      </c>
      <c r="C226" t="inlineStr">
        <is>
          <t>Föryngringsavverkning</t>
        </is>
      </c>
      <c r="D226" s="1" t="n">
        <v>46182</v>
      </c>
      <c r="E226" s="1" t="n">
        <v>46221</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16174-2023</t>
        </is>
      </c>
      <c r="B227" t="inlineStr">
        <is>
          <t>avverkningsanmälan</t>
        </is>
      </c>
      <c r="C227" t="inlineStr">
        <is>
          <t>Avverkning för att bevara och utveckla /försöksver</t>
        </is>
      </c>
      <c r="D227" s="1" t="n">
        <v>45027</v>
      </c>
      <c r="E227" s="1" t="n">
        <v>46221</v>
      </c>
      <c r="F227" t="inlineStr">
        <is>
          <t>DALARNAS LÄN</t>
        </is>
      </c>
      <c r="G227" t="inlineStr">
        <is>
          <t>GAGNEF</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43706-2025</t>
        </is>
      </c>
      <c r="B228" t="inlineStr">
        <is>
          <t>avverkningsanmälan</t>
        </is>
      </c>
      <c r="C228" t="inlineStr">
        <is>
          <t>Föryngringsavverkning</t>
        </is>
      </c>
      <c r="D228" s="1" t="n">
        <v>45912</v>
      </c>
      <c r="E228" s="1" t="n">
        <v>46221</v>
      </c>
      <c r="F228" t="inlineStr">
        <is>
          <t>DALARNAS LÄN</t>
        </is>
      </c>
      <c r="G228" t="inlineStr">
        <is>
          <t>GAGNEF</t>
        </is>
      </c>
      <c r="I228" t="n">
        <v>3.4</v>
      </c>
      <c r="J228" t="n">
        <v>0</v>
      </c>
      <c r="K228" t="n">
        <v>0</v>
      </c>
      <c r="L228" t="n">
        <v>0</v>
      </c>
      <c r="M228" t="n">
        <v>0</v>
      </c>
      <c r="N228" t="n">
        <v>0</v>
      </c>
      <c r="O228" t="n">
        <v>0</v>
      </c>
      <c r="P228" t="n">
        <v>0</v>
      </c>
      <c r="Q228" t="n">
        <v>0</v>
      </c>
      <c r="R228" t="n">
        <v>0</v>
      </c>
      <c r="S228" t="n">
        <v>0</v>
      </c>
      <c r="T228" t="n">
        <v>0</v>
      </c>
      <c r="U228" s="2" t="inlineStr"/>
    </row>
    <row r="229" ht="15" customHeight="1">
      <c r="A229" t="inlineStr">
        <is>
          <t>A 15861-2025</t>
        </is>
      </c>
      <c r="B229" t="inlineStr">
        <is>
          <t>avverkningsanmälan</t>
        </is>
      </c>
      <c r="C229" t="inlineStr">
        <is>
          <t>Föryngringsavverkning</t>
        </is>
      </c>
      <c r="D229" s="1" t="n">
        <v>45749</v>
      </c>
      <c r="E229" s="1" t="n">
        <v>46221</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16192-2022</t>
        </is>
      </c>
      <c r="B230" t="inlineStr">
        <is>
          <t>avverkningsanmälan</t>
        </is>
      </c>
      <c r="C230" t="inlineStr">
        <is>
          <t>Föryngringsavverkning</t>
        </is>
      </c>
      <c r="D230" s="1" t="n">
        <v>44669</v>
      </c>
      <c r="E230" s="1" t="n">
        <v>46221</v>
      </c>
      <c r="F230" t="inlineStr">
        <is>
          <t>DALARNAS LÄN</t>
        </is>
      </c>
      <c r="G230" t="inlineStr">
        <is>
          <t>GAGNEF</t>
        </is>
      </c>
      <c r="H230" t="inlineStr">
        <is>
          <t>Bergvik skog väst AB</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35892-2024</t>
        </is>
      </c>
      <c r="B231" t="inlineStr">
        <is>
          <t>avverkningsanmälan</t>
        </is>
      </c>
      <c r="C231" t="inlineStr">
        <is>
          <t>Föryngringsavverkning</t>
        </is>
      </c>
      <c r="D231" s="1" t="n">
        <v>45533</v>
      </c>
      <c r="E231" s="1" t="n">
        <v>46221</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5682-2026</t>
        </is>
      </c>
      <c r="B232" t="inlineStr">
        <is>
          <t>avverkningsanmälan</t>
        </is>
      </c>
      <c r="C232" t="inlineStr">
        <is>
          <t>Föryngringsavverkning</t>
        </is>
      </c>
      <c r="D232" s="1" t="n">
        <v>46051</v>
      </c>
      <c r="E232" s="1" t="n">
        <v>46221</v>
      </c>
      <c r="F232" t="inlineStr">
        <is>
          <t>DALARNAS LÄN</t>
        </is>
      </c>
      <c r="G232" t="inlineStr">
        <is>
          <t>GAGNEF</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8970-2026</t>
        </is>
      </c>
      <c r="B233" t="inlineStr">
        <is>
          <t>avverkningsanmälan</t>
        </is>
      </c>
      <c r="C233" t="inlineStr">
        <is>
          <t>Föryngringsavverkning</t>
        </is>
      </c>
      <c r="D233" s="1" t="n">
        <v>46069</v>
      </c>
      <c r="E233" s="1" t="n">
        <v>46221</v>
      </c>
      <c r="F233" t="inlineStr">
        <is>
          <t>DALARNAS LÄN</t>
        </is>
      </c>
      <c r="G233" t="inlineStr">
        <is>
          <t>GAGNEF</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60308-2024</t>
        </is>
      </c>
      <c r="B234" t="inlineStr">
        <is>
          <t>avverkningsanmälan</t>
        </is>
      </c>
      <c r="C234" t="inlineStr">
        <is>
          <t>Föryngringsavverkning</t>
        </is>
      </c>
      <c r="D234" s="1" t="n">
        <v>45643</v>
      </c>
      <c r="E234" s="1" t="n">
        <v>46221</v>
      </c>
      <c r="F234" t="inlineStr">
        <is>
          <t>DALARNAS LÄN</t>
        </is>
      </c>
      <c r="G234" t="inlineStr">
        <is>
          <t>GAGNEF</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20455-2026</t>
        </is>
      </c>
      <c r="B235" t="inlineStr">
        <is>
          <t>avverkningsanmälan</t>
        </is>
      </c>
      <c r="C235" t="inlineStr">
        <is>
          <t>Föryngringsavverkning</t>
        </is>
      </c>
      <c r="D235" s="1" t="n">
        <v>46140</v>
      </c>
      <c r="E235" s="1" t="n">
        <v>46221</v>
      </c>
      <c r="F235" t="inlineStr">
        <is>
          <t>DALARNAS LÄN</t>
        </is>
      </c>
      <c r="G235" t="inlineStr">
        <is>
          <t>GAGNEF</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4105-2026</t>
        </is>
      </c>
      <c r="B236" t="inlineStr">
        <is>
          <t>avverkningsanmälan</t>
        </is>
      </c>
      <c r="C236" t="inlineStr">
        <is>
          <t>Föryngringsavverkning</t>
        </is>
      </c>
      <c r="D236" s="1" t="n">
        <v>46044</v>
      </c>
      <c r="E236" s="1" t="n">
        <v>46221</v>
      </c>
      <c r="F236" t="inlineStr">
        <is>
          <t>DALARNAS LÄN</t>
        </is>
      </c>
      <c r="G236" t="inlineStr">
        <is>
          <t>GAGNEF</t>
        </is>
      </c>
      <c r="H236" t="inlineStr">
        <is>
          <t>Bergvik skog väst AB</t>
        </is>
      </c>
      <c r="I236" t="n">
        <v>5.5</v>
      </c>
      <c r="J236" t="n">
        <v>0</v>
      </c>
      <c r="K236" t="n">
        <v>0</v>
      </c>
      <c r="L236" t="n">
        <v>0</v>
      </c>
      <c r="M236" t="n">
        <v>0</v>
      </c>
      <c r="N236" t="n">
        <v>0</v>
      </c>
      <c r="O236" t="n">
        <v>0</v>
      </c>
      <c r="P236" t="n">
        <v>0</v>
      </c>
      <c r="Q236" t="n">
        <v>0</v>
      </c>
      <c r="R236" t="n">
        <v>0</v>
      </c>
      <c r="S236" t="n">
        <v>0</v>
      </c>
      <c r="T236" t="n">
        <v>0</v>
      </c>
      <c r="U236" s="2" t="inlineStr"/>
    </row>
    <row r="237" ht="15" customHeight="1">
      <c r="A237" t="inlineStr">
        <is>
          <t>A 39367-2023</t>
        </is>
      </c>
      <c r="B237" t="inlineStr">
        <is>
          <t>avverkningsanmälan</t>
        </is>
      </c>
      <c r="C237" t="inlineStr">
        <is>
          <t>Föryngringsavverkning</t>
        </is>
      </c>
      <c r="D237" s="1" t="n">
        <v>45166</v>
      </c>
      <c r="E237" s="1" t="n">
        <v>46221</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33168-2022</t>
        </is>
      </c>
      <c r="B238" t="inlineStr">
        <is>
          <t>avverkningsanmälan</t>
        </is>
      </c>
      <c r="C238" t="inlineStr">
        <is>
          <t>Föryngringsavverkning</t>
        </is>
      </c>
      <c r="D238" s="1" t="n">
        <v>44785</v>
      </c>
      <c r="E238" s="1" t="n">
        <v>46221</v>
      </c>
      <c r="F238" t="inlineStr">
        <is>
          <t>DALARNAS LÄN</t>
        </is>
      </c>
      <c r="G238" t="inlineStr">
        <is>
          <t>GAGNEF</t>
        </is>
      </c>
      <c r="H238" t="inlineStr">
        <is>
          <t>Bergvik skog väst AB</t>
        </is>
      </c>
      <c r="I238" t="n">
        <v>6.5</v>
      </c>
      <c r="J238" t="n">
        <v>0</v>
      </c>
      <c r="K238" t="n">
        <v>0</v>
      </c>
      <c r="L238" t="n">
        <v>0</v>
      </c>
      <c r="M238" t="n">
        <v>0</v>
      </c>
      <c r="N238" t="n">
        <v>0</v>
      </c>
      <c r="O238" t="n">
        <v>0</v>
      </c>
      <c r="P238" t="n">
        <v>0</v>
      </c>
      <c r="Q238" t="n">
        <v>0</v>
      </c>
      <c r="R238" t="n">
        <v>0</v>
      </c>
      <c r="S238" t="n">
        <v>0</v>
      </c>
      <c r="T238" t="n">
        <v>0</v>
      </c>
      <c r="U238" s="2" t="inlineStr"/>
    </row>
    <row r="239" ht="15" customHeight="1">
      <c r="A239" t="inlineStr">
        <is>
          <t>A 20306-2026</t>
        </is>
      </c>
      <c r="B239" t="inlineStr">
        <is>
          <t>avverkningsanmälan</t>
        </is>
      </c>
      <c r="C239" t="inlineStr">
        <is>
          <t>Föryngringsavverkning</t>
        </is>
      </c>
      <c r="D239" s="1" t="n">
        <v>46139</v>
      </c>
      <c r="E239" s="1" t="n">
        <v>46221</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1421-2026</t>
        </is>
      </c>
      <c r="B240" t="inlineStr">
        <is>
          <t>avverkningsanmälan</t>
        </is>
      </c>
      <c r="C240" t="inlineStr">
        <is>
          <t>Föryngringsavverkning</t>
        </is>
      </c>
      <c r="D240" s="1" t="n">
        <v>46031</v>
      </c>
      <c r="E240" s="1" t="n">
        <v>46221</v>
      </c>
      <c r="F240" t="inlineStr">
        <is>
          <t>DALARNAS LÄN</t>
        </is>
      </c>
      <c r="G240" t="inlineStr">
        <is>
          <t>GAGNEF</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43713-2025</t>
        </is>
      </c>
      <c r="B241" t="inlineStr">
        <is>
          <t>avverkningsanmälan</t>
        </is>
      </c>
      <c r="C241" t="inlineStr">
        <is>
          <t>Föryngringsavverkning</t>
        </is>
      </c>
      <c r="D241" s="1" t="n">
        <v>45912</v>
      </c>
      <c r="E241" s="1" t="n">
        <v>46221</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51287-2023</t>
        </is>
      </c>
      <c r="B242" t="inlineStr">
        <is>
          <t>avverkningsanmälan</t>
        </is>
      </c>
      <c r="C242" t="inlineStr">
        <is>
          <t>Föryngringsavverkning</t>
        </is>
      </c>
      <c r="D242" s="1" t="n">
        <v>45219</v>
      </c>
      <c r="E242" s="1" t="n">
        <v>46221</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3816-2025</t>
        </is>
      </c>
      <c r="B243" t="inlineStr">
        <is>
          <t>avverkningsanmälan</t>
        </is>
      </c>
      <c r="C243" t="inlineStr">
        <is>
          <t>Föryngringsavverkning</t>
        </is>
      </c>
      <c r="D243" s="1" t="n">
        <v>45681</v>
      </c>
      <c r="E243" s="1" t="n">
        <v>46221</v>
      </c>
      <c r="F243" t="inlineStr">
        <is>
          <t>DALARNAS LÄN</t>
        </is>
      </c>
      <c r="G243" t="inlineStr">
        <is>
          <t>GAGNEF</t>
        </is>
      </c>
      <c r="I243" t="n">
        <v>6.1</v>
      </c>
      <c r="J243" t="n">
        <v>0</v>
      </c>
      <c r="K243" t="n">
        <v>0</v>
      </c>
      <c r="L243" t="n">
        <v>0</v>
      </c>
      <c r="M243" t="n">
        <v>0</v>
      </c>
      <c r="N243" t="n">
        <v>0</v>
      </c>
      <c r="O243" t="n">
        <v>0</v>
      </c>
      <c r="P243" t="n">
        <v>0</v>
      </c>
      <c r="Q243" t="n">
        <v>0</v>
      </c>
      <c r="R243" t="n">
        <v>0</v>
      </c>
      <c r="S243" t="n">
        <v>0</v>
      </c>
      <c r="T243" t="n">
        <v>0</v>
      </c>
      <c r="U243" s="2" t="inlineStr"/>
    </row>
    <row r="244" ht="15" customHeight="1">
      <c r="A244" t="inlineStr">
        <is>
          <t>A 18956-2025</t>
        </is>
      </c>
      <c r="B244" t="inlineStr">
        <is>
          <t>avverkningsanmälan</t>
        </is>
      </c>
      <c r="C244" t="inlineStr">
        <is>
          <t>Föryngringsavverkning</t>
        </is>
      </c>
      <c r="D244" s="1" t="n">
        <v>45764</v>
      </c>
      <c r="E244" s="1" t="n">
        <v>46221</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45596-2023</t>
        </is>
      </c>
      <c r="B245" t="inlineStr">
        <is>
          <t>avverkningsanmälan</t>
        </is>
      </c>
      <c r="C245" t="inlineStr">
        <is>
          <t>Föryngringsavverkning</t>
        </is>
      </c>
      <c r="D245" s="1" t="n">
        <v>45194</v>
      </c>
      <c r="E245" s="1" t="n">
        <v>46221</v>
      </c>
      <c r="F245" t="inlineStr">
        <is>
          <t>DALARNAS LÄN</t>
        </is>
      </c>
      <c r="G245" t="inlineStr">
        <is>
          <t>GAGNEF</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4826-2026</t>
        </is>
      </c>
      <c r="B246" t="inlineStr">
        <is>
          <t>avverkningsanmälan</t>
        </is>
      </c>
      <c r="C246" t="inlineStr">
        <is>
          <t>Föryngringsavverkning</t>
        </is>
      </c>
      <c r="D246" s="1" t="n">
        <v>46048</v>
      </c>
      <c r="E246" s="1" t="n">
        <v>46221</v>
      </c>
      <c r="F246" t="inlineStr">
        <is>
          <t>DALARNAS LÄN</t>
        </is>
      </c>
      <c r="G246" t="inlineStr">
        <is>
          <t>GAGNEF</t>
        </is>
      </c>
      <c r="I246" t="n">
        <v>8.699999999999999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51251-2023</t>
        </is>
      </c>
      <c r="B247" t="inlineStr">
        <is>
          <t>avverkningsanmälan</t>
        </is>
      </c>
      <c r="C247" t="inlineStr">
        <is>
          <t>Föryngringsavverkning</t>
        </is>
      </c>
      <c r="D247" s="1" t="n">
        <v>45219</v>
      </c>
      <c r="E247" s="1" t="n">
        <v>46221</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2505-2024</t>
        </is>
      </c>
      <c r="B248" t="inlineStr">
        <is>
          <t>avverkningsanmälan</t>
        </is>
      </c>
      <c r="C248" t="inlineStr">
        <is>
          <t>Föryngringsavverkning</t>
        </is>
      </c>
      <c r="D248" s="1" t="n">
        <v>45313</v>
      </c>
      <c r="E248" s="1" t="n">
        <v>46221</v>
      </c>
      <c r="F248" t="inlineStr">
        <is>
          <t>DALARNAS LÄN</t>
        </is>
      </c>
      <c r="G248" t="inlineStr">
        <is>
          <t>GAGNEF</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5347-2025</t>
        </is>
      </c>
      <c r="B249" t="inlineStr">
        <is>
          <t>avverkningsanmälan</t>
        </is>
      </c>
      <c r="C249" t="inlineStr">
        <is>
          <t>Föryngringsavverkning</t>
        </is>
      </c>
      <c r="D249" s="1" t="n">
        <v>45692</v>
      </c>
      <c r="E249" s="1" t="n">
        <v>46221</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27096-2026</t>
        </is>
      </c>
      <c r="B250" t="inlineStr">
        <is>
          <t>avverkningsanmälan</t>
        </is>
      </c>
      <c r="C250" t="inlineStr">
        <is>
          <t>Föryngringsavverkning</t>
        </is>
      </c>
      <c r="D250" s="1" t="n">
        <v>46185</v>
      </c>
      <c r="E250" s="1" t="n">
        <v>46221</v>
      </c>
      <c r="F250" t="inlineStr">
        <is>
          <t>DALARNAS LÄN</t>
        </is>
      </c>
      <c r="G250" t="inlineStr">
        <is>
          <t>GAGNEF</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8867-2025</t>
        </is>
      </c>
      <c r="B251" t="inlineStr">
        <is>
          <t>avverkningsanmälan</t>
        </is>
      </c>
      <c r="C251" t="inlineStr">
        <is>
          <t>Föryngringsavverkning</t>
        </is>
      </c>
      <c r="D251" s="1" t="n">
        <v>45713</v>
      </c>
      <c r="E251" s="1" t="n">
        <v>46221</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60667-2023</t>
        </is>
      </c>
      <c r="B252" t="inlineStr">
        <is>
          <t>avverkningsanmälan</t>
        </is>
      </c>
      <c r="C252" t="inlineStr">
        <is>
          <t>Föryngringsavverkning</t>
        </is>
      </c>
      <c r="D252" s="1" t="n">
        <v>45260</v>
      </c>
      <c r="E252" s="1" t="n">
        <v>46221</v>
      </c>
      <c r="F252" t="inlineStr">
        <is>
          <t>DALARNAS LÄN</t>
        </is>
      </c>
      <c r="G252" t="inlineStr">
        <is>
          <t>GAGNEF</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2173-2024</t>
        </is>
      </c>
      <c r="B253" t="inlineStr">
        <is>
          <t>avverkningsanmälan</t>
        </is>
      </c>
      <c r="C253" t="inlineStr">
        <is>
          <t>Föryngringsavverkning</t>
        </is>
      </c>
      <c r="D253" s="1" t="n">
        <v>45309</v>
      </c>
      <c r="E253" s="1" t="n">
        <v>46221</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19346-2025</t>
        </is>
      </c>
      <c r="B254" t="inlineStr">
        <is>
          <t>avverkningsanmälan</t>
        </is>
      </c>
      <c r="C254" t="inlineStr">
        <is>
          <t>Föryngringsavverkning</t>
        </is>
      </c>
      <c r="D254" s="1" t="n">
        <v>45769</v>
      </c>
      <c r="E254" s="1" t="n">
        <v>46221</v>
      </c>
      <c r="F254" t="inlineStr">
        <is>
          <t>DALARNAS LÄN</t>
        </is>
      </c>
      <c r="G254" t="inlineStr">
        <is>
          <t>GAGNEF</t>
        </is>
      </c>
      <c r="I254" t="n">
        <v>4.1</v>
      </c>
      <c r="J254" t="n">
        <v>0</v>
      </c>
      <c r="K254" t="n">
        <v>0</v>
      </c>
      <c r="L254" t="n">
        <v>0</v>
      </c>
      <c r="M254" t="n">
        <v>0</v>
      </c>
      <c r="N254" t="n">
        <v>0</v>
      </c>
      <c r="O254" t="n">
        <v>0</v>
      </c>
      <c r="P254" t="n">
        <v>0</v>
      </c>
      <c r="Q254" t="n">
        <v>0</v>
      </c>
      <c r="R254" t="n">
        <v>0</v>
      </c>
      <c r="S254" t="n">
        <v>0</v>
      </c>
      <c r="T254" t="n">
        <v>0</v>
      </c>
      <c r="U254" s="2" t="inlineStr"/>
    </row>
    <row r="255" ht="15" customHeight="1">
      <c r="A255" t="inlineStr">
        <is>
          <t>A 60652-2023</t>
        </is>
      </c>
      <c r="B255" t="inlineStr">
        <is>
          <t>avverkningsanmälan</t>
        </is>
      </c>
      <c r="C255" t="inlineStr">
        <is>
          <t>Föryngringsavverkning</t>
        </is>
      </c>
      <c r="D255" s="1" t="n">
        <v>45260</v>
      </c>
      <c r="E255" s="1" t="n">
        <v>46221</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60021-2023</t>
        </is>
      </c>
      <c r="B256" t="inlineStr">
        <is>
          <t>avverkningsanmälan</t>
        </is>
      </c>
      <c r="C256" t="inlineStr">
        <is>
          <t>Föryngringsavverkning</t>
        </is>
      </c>
      <c r="D256" s="1" t="n">
        <v>45258</v>
      </c>
      <c r="E256" s="1" t="n">
        <v>46221</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64987-2023</t>
        </is>
      </c>
      <c r="B257" t="inlineStr">
        <is>
          <t>avverkningsanmälan</t>
        </is>
      </c>
      <c r="C257" t="inlineStr">
        <is>
          <t>Föryngringsavverkning</t>
        </is>
      </c>
      <c r="D257" s="1" t="n">
        <v>45285</v>
      </c>
      <c r="E257" s="1" t="n">
        <v>46221</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27523-2026</t>
        </is>
      </c>
      <c r="B258" t="inlineStr">
        <is>
          <t>avverkningsanmälan</t>
        </is>
      </c>
      <c r="C258" t="inlineStr">
        <is>
          <t>Föryngringsavverkning</t>
        </is>
      </c>
      <c r="D258" s="1" t="n">
        <v>46185</v>
      </c>
      <c r="E258" s="1" t="n">
        <v>46221</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48645-2021</t>
        </is>
      </c>
      <c r="B259" t="inlineStr">
        <is>
          <t>avverkningsanmälan</t>
        </is>
      </c>
      <c r="C259" t="inlineStr">
        <is>
          <t>Föryngringsavverkning</t>
        </is>
      </c>
      <c r="D259" s="1" t="n">
        <v>44452</v>
      </c>
      <c r="E259" s="1" t="n">
        <v>46221</v>
      </c>
      <c r="F259" t="inlineStr">
        <is>
          <t>DALARNAS LÄN</t>
        </is>
      </c>
      <c r="G259" t="inlineStr">
        <is>
          <t>GAGNEF</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21594-2026</t>
        </is>
      </c>
      <c r="B260" t="inlineStr">
        <is>
          <t>avverkningsanmälan</t>
        </is>
      </c>
      <c r="C260" t="inlineStr">
        <is>
          <t>Föryngringsavverkning</t>
        </is>
      </c>
      <c r="D260" s="1" t="n">
        <v>46149</v>
      </c>
      <c r="E260" s="1" t="n">
        <v>46221</v>
      </c>
      <c r="F260" t="inlineStr">
        <is>
          <t>DALARNAS LÄN</t>
        </is>
      </c>
      <c r="G260" t="inlineStr">
        <is>
          <t>GAGNEF</t>
        </is>
      </c>
      <c r="H260" t="inlineStr">
        <is>
          <t>Bergvik skog väst AB</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4374-2024</t>
        </is>
      </c>
      <c r="B261" t="inlineStr">
        <is>
          <t>avverkningsanmälan</t>
        </is>
      </c>
      <c r="C261" t="inlineStr">
        <is>
          <t>Föryngringsavverkning</t>
        </is>
      </c>
      <c r="D261" s="1" t="n">
        <v>45326</v>
      </c>
      <c r="E261" s="1" t="n">
        <v>46221</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12741-2025</t>
        </is>
      </c>
      <c r="B262" t="inlineStr">
        <is>
          <t>avverkningsanmälan</t>
        </is>
      </c>
      <c r="C262" t="inlineStr">
        <is>
          <t>Föryngringsavverkning</t>
        </is>
      </c>
      <c r="D262" s="1" t="n">
        <v>45733</v>
      </c>
      <c r="E262" s="1" t="n">
        <v>46221</v>
      </c>
      <c r="F262" t="inlineStr">
        <is>
          <t>DALARNAS LÄN</t>
        </is>
      </c>
      <c r="G262" t="inlineStr">
        <is>
          <t>GAGNEF</t>
        </is>
      </c>
      <c r="I262" t="n">
        <v>4.6</v>
      </c>
      <c r="J262" t="n">
        <v>0</v>
      </c>
      <c r="K262" t="n">
        <v>0</v>
      </c>
      <c r="L262" t="n">
        <v>0</v>
      </c>
      <c r="M262" t="n">
        <v>0</v>
      </c>
      <c r="N262" t="n">
        <v>0</v>
      </c>
      <c r="O262" t="n">
        <v>0</v>
      </c>
      <c r="P262" t="n">
        <v>0</v>
      </c>
      <c r="Q262" t="n">
        <v>0</v>
      </c>
      <c r="R262" t="n">
        <v>0</v>
      </c>
      <c r="S262" t="n">
        <v>0</v>
      </c>
      <c r="T262" t="n">
        <v>0</v>
      </c>
      <c r="U262" s="2" t="inlineStr"/>
    </row>
    <row r="263" ht="15" customHeight="1">
      <c r="A263" t="inlineStr">
        <is>
          <t>A 48867-2024</t>
        </is>
      </c>
      <c r="B263" t="inlineStr">
        <is>
          <t>avverkningsanmälan</t>
        </is>
      </c>
      <c r="C263" t="inlineStr">
        <is>
          <t>Föryngringsavverkning</t>
        </is>
      </c>
      <c r="D263" s="1" t="n">
        <v>45594</v>
      </c>
      <c r="E263" s="1" t="n">
        <v>46221</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51231-2023</t>
        </is>
      </c>
      <c r="B264" t="inlineStr">
        <is>
          <t>avverkningsanmälan</t>
        </is>
      </c>
      <c r="C264" t="inlineStr">
        <is>
          <t>Föryngringsavverkning</t>
        </is>
      </c>
      <c r="D264" s="1" t="n">
        <v>45219</v>
      </c>
      <c r="E264" s="1" t="n">
        <v>46221</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28192-2026</t>
        </is>
      </c>
      <c r="B265" t="inlineStr">
        <is>
          <t>avverkningsanmälan</t>
        </is>
      </c>
      <c r="C265" t="inlineStr">
        <is>
          <t>Föryngringsavverkning</t>
        </is>
      </c>
      <c r="D265" s="1" t="n">
        <v>46195</v>
      </c>
      <c r="E265" s="1" t="n">
        <v>46221</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22405-2026</t>
        </is>
      </c>
      <c r="B266" t="inlineStr">
        <is>
          <t>avverkningsanmälan</t>
        </is>
      </c>
      <c r="C266" t="inlineStr">
        <is>
          <t>Föryngringsavverkning</t>
        </is>
      </c>
      <c r="D266" s="1" t="n">
        <v>46154</v>
      </c>
      <c r="E266" s="1" t="n">
        <v>46221</v>
      </c>
      <c r="F266" t="inlineStr">
        <is>
          <t>DALARNAS LÄN</t>
        </is>
      </c>
      <c r="G266" t="inlineStr">
        <is>
          <t>GAGNEF</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22383-2026</t>
        </is>
      </c>
      <c r="B267" t="inlineStr">
        <is>
          <t>avverkningsanmälan</t>
        </is>
      </c>
      <c r="C267" t="inlineStr">
        <is>
          <t>Föryngringsavverkning</t>
        </is>
      </c>
      <c r="D267" s="1" t="n">
        <v>46154</v>
      </c>
      <c r="E267" s="1" t="n">
        <v>46221</v>
      </c>
      <c r="F267" t="inlineStr">
        <is>
          <t>DALARNAS LÄN</t>
        </is>
      </c>
      <c r="G267" t="inlineStr">
        <is>
          <t>GAGNEF</t>
        </is>
      </c>
      <c r="H267" t="inlineStr">
        <is>
          <t>Bergvik skog väst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31245-2024</t>
        </is>
      </c>
      <c r="B268" t="inlineStr">
        <is>
          <t>avverkningsanmälan</t>
        </is>
      </c>
      <c r="C268" t="inlineStr">
        <is>
          <t>Föryngringsavverkning</t>
        </is>
      </c>
      <c r="D268" s="1" t="n">
        <v>45503</v>
      </c>
      <c r="E268" s="1" t="n">
        <v>46221</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15686-2024</t>
        </is>
      </c>
      <c r="B269" t="inlineStr">
        <is>
          <t>avverkningsanmälan</t>
        </is>
      </c>
      <c r="C269" t="inlineStr">
        <is>
          <t>Föryngringsavverkning</t>
        </is>
      </c>
      <c r="D269" s="1" t="n">
        <v>45404</v>
      </c>
      <c r="E269" s="1" t="n">
        <v>46221</v>
      </c>
      <c r="F269" t="inlineStr">
        <is>
          <t>DALARNAS LÄN</t>
        </is>
      </c>
      <c r="G269" t="inlineStr">
        <is>
          <t>GAGNEF</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41442-2024</t>
        </is>
      </c>
      <c r="B270" t="inlineStr">
        <is>
          <t>avverkningsanmälan</t>
        </is>
      </c>
      <c r="C270" t="inlineStr">
        <is>
          <t>Föryngringsavverkning</t>
        </is>
      </c>
      <c r="D270" s="1" t="n">
        <v>45560</v>
      </c>
      <c r="E270" s="1" t="n">
        <v>46221</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22445-2026</t>
        </is>
      </c>
      <c r="B271" t="inlineStr">
        <is>
          <t>avverkningsanmälan</t>
        </is>
      </c>
      <c r="C271" t="inlineStr">
        <is>
          <t>Föryngringsavverkning</t>
        </is>
      </c>
      <c r="D271" s="1" t="n">
        <v>46155</v>
      </c>
      <c r="E271" s="1" t="n">
        <v>46221</v>
      </c>
      <c r="F271" t="inlineStr">
        <is>
          <t>DALARNAS LÄN</t>
        </is>
      </c>
      <c r="G271" t="inlineStr">
        <is>
          <t>GAGNEF</t>
        </is>
      </c>
      <c r="H271" t="inlineStr">
        <is>
          <t>Bergvik skog väst AB</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61872-2024</t>
        </is>
      </c>
      <c r="B272" t="inlineStr">
        <is>
          <t>avverkningsanmälan</t>
        </is>
      </c>
      <c r="C272" t="inlineStr">
        <is>
          <t>Föryngringsavverkning</t>
        </is>
      </c>
      <c r="D272" s="1" t="n">
        <v>45651</v>
      </c>
      <c r="E272" s="1" t="n">
        <v>46221</v>
      </c>
      <c r="F272" t="inlineStr">
        <is>
          <t>DALARNAS LÄN</t>
        </is>
      </c>
      <c r="G272" t="inlineStr">
        <is>
          <t>GAGNEF</t>
        </is>
      </c>
      <c r="I272" t="n">
        <v>6.7</v>
      </c>
      <c r="J272" t="n">
        <v>0</v>
      </c>
      <c r="K272" t="n">
        <v>0</v>
      </c>
      <c r="L272" t="n">
        <v>0</v>
      </c>
      <c r="M272" t="n">
        <v>0</v>
      </c>
      <c r="N272" t="n">
        <v>0</v>
      </c>
      <c r="O272" t="n">
        <v>0</v>
      </c>
      <c r="P272" t="n">
        <v>0</v>
      </c>
      <c r="Q272" t="n">
        <v>0</v>
      </c>
      <c r="R272" t="n">
        <v>0</v>
      </c>
      <c r="S272" t="n">
        <v>0</v>
      </c>
      <c r="T272" t="n">
        <v>0</v>
      </c>
      <c r="U272" s="2" t="inlineStr"/>
    </row>
    <row r="273" ht="15" customHeight="1">
      <c r="A273" t="inlineStr">
        <is>
          <t>A 64925-2021</t>
        </is>
      </c>
      <c r="B273" t="inlineStr">
        <is>
          <t>avverkningsanmälan</t>
        </is>
      </c>
      <c r="C273" t="inlineStr">
        <is>
          <t>Avverkning för att bevara och utveckla /försöksver</t>
        </is>
      </c>
      <c r="D273" s="1" t="n">
        <v>44512</v>
      </c>
      <c r="E273" s="1" t="n">
        <v>46221</v>
      </c>
      <c r="F273" t="inlineStr">
        <is>
          <t>DALARNAS LÄN</t>
        </is>
      </c>
      <c r="G273" t="inlineStr">
        <is>
          <t>GAGNEF</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16409-2022</t>
        </is>
      </c>
      <c r="B274" t="inlineStr">
        <is>
          <t>avverkningsanmälan</t>
        </is>
      </c>
      <c r="C274" t="inlineStr">
        <is>
          <t>Föryngringsavverkning</t>
        </is>
      </c>
      <c r="D274" s="1" t="n">
        <v>44671</v>
      </c>
      <c r="E274" s="1" t="n">
        <v>46221</v>
      </c>
      <c r="F274" t="inlineStr">
        <is>
          <t>DALARNAS LÄN</t>
        </is>
      </c>
      <c r="G274" t="inlineStr">
        <is>
          <t>GAGNEF</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45057-2025</t>
        </is>
      </c>
      <c r="B275" t="inlineStr">
        <is>
          <t>avverkningsanmälan</t>
        </is>
      </c>
      <c r="C275" t="inlineStr">
        <is>
          <t>Föryngringsavverkning</t>
        </is>
      </c>
      <c r="D275" s="1" t="n">
        <v>45919</v>
      </c>
      <c r="E275" s="1" t="n">
        <v>46221</v>
      </c>
      <c r="F275" t="inlineStr">
        <is>
          <t>DALARNAS LÄN</t>
        </is>
      </c>
      <c r="G275" t="inlineStr">
        <is>
          <t>GAGNEF</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6566-2022</t>
        </is>
      </c>
      <c r="B276" t="inlineStr">
        <is>
          <t>avverkningsanmälan</t>
        </is>
      </c>
      <c r="C276" t="inlineStr">
        <is>
          <t>Föryngringsavverkning</t>
        </is>
      </c>
      <c r="D276" s="1" t="n">
        <v>44601</v>
      </c>
      <c r="E276" s="1" t="n">
        <v>46221</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54875-2023</t>
        </is>
      </c>
      <c r="B277" t="inlineStr">
        <is>
          <t>avverkningsanmälan</t>
        </is>
      </c>
      <c r="C277" t="inlineStr">
        <is>
          <t>Föryngringsavverkning</t>
        </is>
      </c>
      <c r="D277" s="1" t="n">
        <v>45236</v>
      </c>
      <c r="E277" s="1" t="n">
        <v>46221</v>
      </c>
      <c r="F277" t="inlineStr">
        <is>
          <t>DALARNAS LÄN</t>
        </is>
      </c>
      <c r="G277" t="inlineStr">
        <is>
          <t>GAGNEF</t>
        </is>
      </c>
      <c r="I277" t="n">
        <v>6.7</v>
      </c>
      <c r="J277" t="n">
        <v>0</v>
      </c>
      <c r="K277" t="n">
        <v>0</v>
      </c>
      <c r="L277" t="n">
        <v>0</v>
      </c>
      <c r="M277" t="n">
        <v>0</v>
      </c>
      <c r="N277" t="n">
        <v>0</v>
      </c>
      <c r="O277" t="n">
        <v>0</v>
      </c>
      <c r="P277" t="n">
        <v>0</v>
      </c>
      <c r="Q277" t="n">
        <v>0</v>
      </c>
      <c r="R277" t="n">
        <v>0</v>
      </c>
      <c r="S277" t="n">
        <v>0</v>
      </c>
      <c r="T277" t="n">
        <v>0</v>
      </c>
      <c r="U277" s="2" t="inlineStr"/>
    </row>
    <row r="278" ht="15" customHeight="1">
      <c r="A278" t="inlineStr">
        <is>
          <t>A 24038-2026</t>
        </is>
      </c>
      <c r="B278" t="inlineStr">
        <is>
          <t>avverkningsanmälan</t>
        </is>
      </c>
      <c r="C278" t="inlineStr">
        <is>
          <t>Föryngringsavverkning</t>
        </is>
      </c>
      <c r="D278" s="1" t="n">
        <v>46167</v>
      </c>
      <c r="E278" s="1" t="n">
        <v>46221</v>
      </c>
      <c r="F278" t="inlineStr">
        <is>
          <t>DALARNAS LÄN</t>
        </is>
      </c>
      <c r="G278" t="inlineStr">
        <is>
          <t>GAGNEF</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20513-2023</t>
        </is>
      </c>
      <c r="B279" t="inlineStr">
        <is>
          <t>avverkningsanmälan</t>
        </is>
      </c>
      <c r="C279" t="inlineStr">
        <is>
          <t>Föryngringsavverkning</t>
        </is>
      </c>
      <c r="D279" s="1" t="n">
        <v>45057</v>
      </c>
      <c r="E279" s="1" t="n">
        <v>46221</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2443-2024</t>
        </is>
      </c>
      <c r="B280" t="inlineStr">
        <is>
          <t>avverkningsanmälan</t>
        </is>
      </c>
      <c r="C280" t="inlineStr">
        <is>
          <t>Föryngringsavverkning</t>
        </is>
      </c>
      <c r="D280" s="1" t="n">
        <v>45311</v>
      </c>
      <c r="E280" s="1" t="n">
        <v>46221</v>
      </c>
      <c r="F280" t="inlineStr">
        <is>
          <t>DALARNAS LÄN</t>
        </is>
      </c>
      <c r="G280" t="inlineStr">
        <is>
          <t>GAGNEF</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24174-2026</t>
        </is>
      </c>
      <c r="B281" t="inlineStr">
        <is>
          <t>avverkningsanmälan</t>
        </is>
      </c>
      <c r="C281" t="inlineStr">
        <is>
          <t>Föryngringsavverkning</t>
        </is>
      </c>
      <c r="D281" s="1" t="n">
        <v>46168</v>
      </c>
      <c r="E281" s="1" t="n">
        <v>46221</v>
      </c>
      <c r="F281" t="inlineStr">
        <is>
          <t>DALARNAS LÄN</t>
        </is>
      </c>
      <c r="G281" t="inlineStr">
        <is>
          <t>GAGNEF</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51138-2022</t>
        </is>
      </c>
      <c r="B282" t="inlineStr">
        <is>
          <t>avverkningsanmälan</t>
        </is>
      </c>
      <c r="C282" t="inlineStr">
        <is>
          <t>Föryngringsavverkning</t>
        </is>
      </c>
      <c r="D282" s="1" t="n">
        <v>44868</v>
      </c>
      <c r="E282" s="1" t="n">
        <v>46221</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23489-2024</t>
        </is>
      </c>
      <c r="B283" t="inlineStr">
        <is>
          <t>avverkningsanmälan</t>
        </is>
      </c>
      <c r="C283" t="inlineStr">
        <is>
          <t>Föryngringsavverkning</t>
        </is>
      </c>
      <c r="D283" s="1" t="n">
        <v>45453</v>
      </c>
      <c r="E283" s="1" t="n">
        <v>46221</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4397-2026</t>
        </is>
      </c>
      <c r="B284" t="inlineStr">
        <is>
          <t>avverkningsanmälan</t>
        </is>
      </c>
      <c r="C284" t="inlineStr">
        <is>
          <t>Föryngringsavverkning</t>
        </is>
      </c>
      <c r="D284" s="1" t="n">
        <v>46045</v>
      </c>
      <c r="E284" s="1" t="n">
        <v>46221</v>
      </c>
      <c r="F284" t="inlineStr">
        <is>
          <t>DALARNAS LÄN</t>
        </is>
      </c>
      <c r="G284" t="inlineStr">
        <is>
          <t>GAGNEF</t>
        </is>
      </c>
      <c r="I284" t="n">
        <v>7.2</v>
      </c>
      <c r="J284" t="n">
        <v>0</v>
      </c>
      <c r="K284" t="n">
        <v>0</v>
      </c>
      <c r="L284" t="n">
        <v>0</v>
      </c>
      <c r="M284" t="n">
        <v>0</v>
      </c>
      <c r="N284" t="n">
        <v>0</v>
      </c>
      <c r="O284" t="n">
        <v>0</v>
      </c>
      <c r="P284" t="n">
        <v>0</v>
      </c>
      <c r="Q284" t="n">
        <v>0</v>
      </c>
      <c r="R284" t="n">
        <v>0</v>
      </c>
      <c r="S284" t="n">
        <v>0</v>
      </c>
      <c r="T284" t="n">
        <v>0</v>
      </c>
      <c r="U284" s="2" t="inlineStr"/>
    </row>
    <row r="285" ht="15" customHeight="1">
      <c r="A285" t="inlineStr">
        <is>
          <t>A 34467-2024</t>
        </is>
      </c>
      <c r="B285" t="inlineStr">
        <is>
          <t>avverkningsanmälan</t>
        </is>
      </c>
      <c r="C285" t="inlineStr">
        <is>
          <t>Föryngringsavverkning</t>
        </is>
      </c>
      <c r="D285" s="1" t="n">
        <v>45525</v>
      </c>
      <c r="E285" s="1" t="n">
        <v>46221</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52439-2024</t>
        </is>
      </c>
      <c r="B286" t="inlineStr">
        <is>
          <t>avverkningsanmälan</t>
        </is>
      </c>
      <c r="C286" t="inlineStr">
        <is>
          <t>Föryngringsavverkning</t>
        </is>
      </c>
      <c r="D286" s="1" t="n">
        <v>45608</v>
      </c>
      <c r="E286" s="1" t="n">
        <v>46221</v>
      </c>
      <c r="F286" t="inlineStr">
        <is>
          <t>DALARNAS LÄN</t>
        </is>
      </c>
      <c r="G286" t="inlineStr">
        <is>
          <t>GAGNEF</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55392-2022</t>
        </is>
      </c>
      <c r="B287" t="inlineStr">
        <is>
          <t>avverkningsanmälan</t>
        </is>
      </c>
      <c r="C287" t="inlineStr">
        <is>
          <t>Föryngringsavverkning</t>
        </is>
      </c>
      <c r="D287" s="1" t="n">
        <v>44887</v>
      </c>
      <c r="E287" s="1" t="n">
        <v>46221</v>
      </c>
      <c r="F287" t="inlineStr">
        <is>
          <t>DALARNAS LÄN</t>
        </is>
      </c>
      <c r="G287" t="inlineStr">
        <is>
          <t>GAGNEF</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24788-2026</t>
        </is>
      </c>
      <c r="B288" t="inlineStr">
        <is>
          <t>avverkningsanmälan</t>
        </is>
      </c>
      <c r="C288" t="inlineStr">
        <is>
          <t>Föryngringsavverkning</t>
        </is>
      </c>
      <c r="D288" s="1" t="n">
        <v>46171</v>
      </c>
      <c r="E288" s="1" t="n">
        <v>46221</v>
      </c>
      <c r="F288" t="inlineStr">
        <is>
          <t>DALARNAS LÄN</t>
        </is>
      </c>
      <c r="G288" t="inlineStr">
        <is>
          <t>GAGNEF</t>
        </is>
      </c>
      <c r="H288" t="inlineStr">
        <is>
          <t>Kommuner</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326-2024</t>
        </is>
      </c>
      <c r="B289" t="inlineStr">
        <is>
          <t>avverkningsanmälan</t>
        </is>
      </c>
      <c r="C289" t="inlineStr">
        <is>
          <t>Föryngringsavverkning</t>
        </is>
      </c>
      <c r="D289" s="1" t="n">
        <v>45295</v>
      </c>
      <c r="E289" s="1" t="n">
        <v>46221</v>
      </c>
      <c r="F289" t="inlineStr">
        <is>
          <t>DALARNAS LÄN</t>
        </is>
      </c>
      <c r="G289" t="inlineStr">
        <is>
          <t>GAGNEF</t>
        </is>
      </c>
      <c r="I289" t="n">
        <v>9.4</v>
      </c>
      <c r="J289" t="n">
        <v>0</v>
      </c>
      <c r="K289" t="n">
        <v>0</v>
      </c>
      <c r="L289" t="n">
        <v>0</v>
      </c>
      <c r="M289" t="n">
        <v>0</v>
      </c>
      <c r="N289" t="n">
        <v>0</v>
      </c>
      <c r="O289" t="n">
        <v>0</v>
      </c>
      <c r="P289" t="n">
        <v>0</v>
      </c>
      <c r="Q289" t="n">
        <v>0</v>
      </c>
      <c r="R289" t="n">
        <v>0</v>
      </c>
      <c r="S289" t="n">
        <v>0</v>
      </c>
      <c r="T289" t="n">
        <v>0</v>
      </c>
      <c r="U289" s="2" t="inlineStr"/>
    </row>
    <row r="290" ht="15" customHeight="1">
      <c r="A290" t="inlineStr">
        <is>
          <t>A 11680-2022</t>
        </is>
      </c>
      <c r="B290" t="inlineStr">
        <is>
          <t>avverkningsanmälan</t>
        </is>
      </c>
      <c r="C290" t="inlineStr">
        <is>
          <t>Föryngringsavverkning</t>
        </is>
      </c>
      <c r="D290" s="1" t="n">
        <v>44634</v>
      </c>
      <c r="E290" s="1" t="n">
        <v>46221</v>
      </c>
      <c r="F290" t="inlineStr">
        <is>
          <t>DALARNAS LÄN</t>
        </is>
      </c>
      <c r="G290" t="inlineStr">
        <is>
          <t>GAGNEF</t>
        </is>
      </c>
      <c r="I290" t="n">
        <v>7.8</v>
      </c>
      <c r="J290" t="n">
        <v>0</v>
      </c>
      <c r="K290" t="n">
        <v>0</v>
      </c>
      <c r="L290" t="n">
        <v>0</v>
      </c>
      <c r="M290" t="n">
        <v>0</v>
      </c>
      <c r="N290" t="n">
        <v>0</v>
      </c>
      <c r="O290" t="n">
        <v>0</v>
      </c>
      <c r="P290" t="n">
        <v>0</v>
      </c>
      <c r="Q290" t="n">
        <v>0</v>
      </c>
      <c r="R290" t="n">
        <v>0</v>
      </c>
      <c r="S290" t="n">
        <v>0</v>
      </c>
      <c r="T290" t="n">
        <v>0</v>
      </c>
      <c r="U290" s="2" t="inlineStr"/>
    </row>
    <row r="291" ht="15" customHeight="1">
      <c r="A291" t="inlineStr">
        <is>
          <t>A 45521-2024</t>
        </is>
      </c>
      <c r="B291" t="inlineStr">
        <is>
          <t>avverkningsanmälan</t>
        </is>
      </c>
      <c r="C291" t="inlineStr">
        <is>
          <t>Föryngringsavverkning</t>
        </is>
      </c>
      <c r="D291" s="1" t="n">
        <v>45578</v>
      </c>
      <c r="E291" s="1" t="n">
        <v>46221</v>
      </c>
      <c r="F291" t="inlineStr">
        <is>
          <t>DALARNAS LÄN</t>
        </is>
      </c>
      <c r="G291" t="inlineStr">
        <is>
          <t>GAGNEF</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604-2025</t>
        </is>
      </c>
      <c r="B292" t="inlineStr">
        <is>
          <t>avverkningsanmälan</t>
        </is>
      </c>
      <c r="C292" t="inlineStr">
        <is>
          <t>Föryngringsavverkning</t>
        </is>
      </c>
      <c r="D292" s="1" t="n">
        <v>45664</v>
      </c>
      <c r="E292" s="1" t="n">
        <v>46221</v>
      </c>
      <c r="F292" t="inlineStr">
        <is>
          <t>DALARNAS LÄN</t>
        </is>
      </c>
      <c r="G292" t="inlineStr">
        <is>
          <t>GAGNEF</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24856-2026</t>
        </is>
      </c>
      <c r="B293" t="inlineStr">
        <is>
          <t>avverkningsanmälan</t>
        </is>
      </c>
      <c r="C293" t="inlineStr">
        <is>
          <t>Föryngringsavverkning</t>
        </is>
      </c>
      <c r="D293" s="1" t="n">
        <v>46174</v>
      </c>
      <c r="E293" s="1" t="n">
        <v>46221</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36891-2024</t>
        </is>
      </c>
      <c r="B294" t="inlineStr">
        <is>
          <t>avverkningsanmälan</t>
        </is>
      </c>
      <c r="C294" t="inlineStr">
        <is>
          <t>Föryngringsavverkning</t>
        </is>
      </c>
      <c r="D294" s="1" t="n">
        <v>45538</v>
      </c>
      <c r="E294" s="1" t="n">
        <v>46221</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24866-2026</t>
        </is>
      </c>
      <c r="B295" t="inlineStr">
        <is>
          <t>avverkningsanmälan</t>
        </is>
      </c>
      <c r="C295" t="inlineStr">
        <is>
          <t>Föryngringsavverkning</t>
        </is>
      </c>
      <c r="D295" s="1" t="n">
        <v>46174</v>
      </c>
      <c r="E295" s="1" t="n">
        <v>46221</v>
      </c>
      <c r="F295" t="inlineStr">
        <is>
          <t>DALARNAS LÄN</t>
        </is>
      </c>
      <c r="G295" t="inlineStr">
        <is>
          <t>GAGNEF</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24111-2026</t>
        </is>
      </c>
      <c r="B296" t="inlineStr">
        <is>
          <t>avverkningsanmälan</t>
        </is>
      </c>
      <c r="C296" t="inlineStr">
        <is>
          <t>Föryngringsavverkning</t>
        </is>
      </c>
      <c r="D296" s="1" t="n">
        <v>46168</v>
      </c>
      <c r="E296" s="1" t="n">
        <v>46221</v>
      </c>
      <c r="F296" t="inlineStr">
        <is>
          <t>DALARNAS LÄN</t>
        </is>
      </c>
      <c r="G296" t="inlineStr">
        <is>
          <t>GAGNEF</t>
        </is>
      </c>
      <c r="H296" t="inlineStr">
        <is>
          <t>Bergvik skog väst AB</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10717-2024</t>
        </is>
      </c>
      <c r="B297" t="inlineStr">
        <is>
          <t>avverkningsanmälan</t>
        </is>
      </c>
      <c r="C297" t="inlineStr">
        <is>
          <t>Föryngringsavverkning</t>
        </is>
      </c>
      <c r="D297" s="1" t="n">
        <v>45369</v>
      </c>
      <c r="E297" s="1" t="n">
        <v>46221</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9616-2024</t>
        </is>
      </c>
      <c r="B298" t="inlineStr">
        <is>
          <t>avverkningsanmälan</t>
        </is>
      </c>
      <c r="C298" t="inlineStr">
        <is>
          <t>Föryngringsavverkning</t>
        </is>
      </c>
      <c r="D298" s="1" t="n">
        <v>45361</v>
      </c>
      <c r="E298" s="1" t="n">
        <v>46221</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57729-2022</t>
        </is>
      </c>
      <c r="B299" t="inlineStr">
        <is>
          <t>avverkningsanmälan</t>
        </is>
      </c>
      <c r="C299" t="inlineStr">
        <is>
          <t>Föryngringsavverkning</t>
        </is>
      </c>
      <c r="D299" s="1" t="n">
        <v>44897</v>
      </c>
      <c r="E299" s="1" t="n">
        <v>46221</v>
      </c>
      <c r="F299" t="inlineStr">
        <is>
          <t>DALARNAS LÄN</t>
        </is>
      </c>
      <c r="G299" t="inlineStr">
        <is>
          <t>GAGNEF</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51151-2023</t>
        </is>
      </c>
      <c r="B300" t="inlineStr">
        <is>
          <t>avverkningsanmälan</t>
        </is>
      </c>
      <c r="C300" t="inlineStr">
        <is>
          <t>Avverkning för att bevara och utveckla /försöksver</t>
        </is>
      </c>
      <c r="D300" s="1" t="n">
        <v>45219</v>
      </c>
      <c r="E300" s="1" t="n">
        <v>46221</v>
      </c>
      <c r="F300" t="inlineStr">
        <is>
          <t>DALARNAS LÄN</t>
        </is>
      </c>
      <c r="G300" t="inlineStr">
        <is>
          <t>GAGNEF</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36011-2023</t>
        </is>
      </c>
      <c r="B301" t="inlineStr">
        <is>
          <t>avverkningsanmälan</t>
        </is>
      </c>
      <c r="C301" t="inlineStr">
        <is>
          <t>Föryngringsavverkning</t>
        </is>
      </c>
      <c r="D301" s="1" t="n">
        <v>45148</v>
      </c>
      <c r="E301" s="1" t="n">
        <v>46221</v>
      </c>
      <c r="F301" t="inlineStr">
        <is>
          <t>DALARNAS LÄN</t>
        </is>
      </c>
      <c r="G301" t="inlineStr">
        <is>
          <t>GAGNEF</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23654-2023</t>
        </is>
      </c>
      <c r="B302" t="inlineStr">
        <is>
          <t>avverkningsanmälan</t>
        </is>
      </c>
      <c r="C302" t="inlineStr">
        <is>
          <t>Föryngringsavverkning</t>
        </is>
      </c>
      <c r="D302" s="1" t="n">
        <v>45077</v>
      </c>
      <c r="E302" s="1" t="n">
        <v>46221</v>
      </c>
      <c r="F302" t="inlineStr">
        <is>
          <t>DALARNAS LÄN</t>
        </is>
      </c>
      <c r="G302" t="inlineStr">
        <is>
          <t>GAGNEF</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3411-2025</t>
        </is>
      </c>
      <c r="B303" t="inlineStr">
        <is>
          <t>avverkningsanmälan</t>
        </is>
      </c>
      <c r="C303" t="inlineStr">
        <is>
          <t>Föryngringsavverkning</t>
        </is>
      </c>
      <c r="D303" s="1" t="n">
        <v>45680</v>
      </c>
      <c r="E303" s="1" t="n">
        <v>46221</v>
      </c>
      <c r="F303" t="inlineStr">
        <is>
          <t>DALARNAS LÄN</t>
        </is>
      </c>
      <c r="G303" t="inlineStr">
        <is>
          <t>GAGNEF</t>
        </is>
      </c>
      <c r="I303" t="n">
        <v>5.3</v>
      </c>
      <c r="J303" t="n">
        <v>0</v>
      </c>
      <c r="K303" t="n">
        <v>0</v>
      </c>
      <c r="L303" t="n">
        <v>0</v>
      </c>
      <c r="M303" t="n">
        <v>0</v>
      </c>
      <c r="N303" t="n">
        <v>0</v>
      </c>
      <c r="O303" t="n">
        <v>0</v>
      </c>
      <c r="P303" t="n">
        <v>0</v>
      </c>
      <c r="Q303" t="n">
        <v>0</v>
      </c>
      <c r="R303" t="n">
        <v>0</v>
      </c>
      <c r="S303" t="n">
        <v>0</v>
      </c>
      <c r="T303" t="n">
        <v>0</v>
      </c>
      <c r="U303" s="2" t="inlineStr"/>
    </row>
    <row r="304" ht="15" customHeight="1">
      <c r="A304" t="inlineStr">
        <is>
          <t>A 28307-2022</t>
        </is>
      </c>
      <c r="B304" t="inlineStr">
        <is>
          <t>avverkningsanmälan</t>
        </is>
      </c>
      <c r="C304" t="inlineStr">
        <is>
          <t>Föryngringsavverkning</t>
        </is>
      </c>
      <c r="D304" s="1" t="n">
        <v>44747</v>
      </c>
      <c r="E304" s="1" t="n">
        <v>46221</v>
      </c>
      <c r="F304" t="inlineStr">
        <is>
          <t>DALARNAS LÄN</t>
        </is>
      </c>
      <c r="G304" t="inlineStr">
        <is>
          <t>GAGNEF</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56807-2023</t>
        </is>
      </c>
      <c r="B305" t="inlineStr">
        <is>
          <t>avverkningsanmälan</t>
        </is>
      </c>
      <c r="C305" t="inlineStr">
        <is>
          <t>Föryngringsavverkning</t>
        </is>
      </c>
      <c r="D305" s="1" t="n">
        <v>45244</v>
      </c>
      <c r="E305" s="1" t="n">
        <v>46221</v>
      </c>
      <c r="F305" t="inlineStr">
        <is>
          <t>DALARNAS LÄN</t>
        </is>
      </c>
      <c r="G305" t="inlineStr">
        <is>
          <t>GAGNEF</t>
        </is>
      </c>
      <c r="I305" t="n">
        <v>10.9</v>
      </c>
      <c r="J305" t="n">
        <v>0</v>
      </c>
      <c r="K305" t="n">
        <v>0</v>
      </c>
      <c r="L305" t="n">
        <v>0</v>
      </c>
      <c r="M305" t="n">
        <v>0</v>
      </c>
      <c r="N305" t="n">
        <v>0</v>
      </c>
      <c r="O305" t="n">
        <v>0</v>
      </c>
      <c r="P305" t="n">
        <v>0</v>
      </c>
      <c r="Q305" t="n">
        <v>0</v>
      </c>
      <c r="R305" t="n">
        <v>0</v>
      </c>
      <c r="S305" t="n">
        <v>0</v>
      </c>
      <c r="T305" t="n">
        <v>0</v>
      </c>
      <c r="U305" s="2" t="inlineStr"/>
    </row>
    <row r="306" ht="15" customHeight="1">
      <c r="A306" t="inlineStr">
        <is>
          <t>A 2017-2025</t>
        </is>
      </c>
      <c r="B306" t="inlineStr">
        <is>
          <t>avverkningsanmälan</t>
        </is>
      </c>
      <c r="C306" t="inlineStr">
        <is>
          <t>Avverkning för annat ändamål</t>
        </is>
      </c>
      <c r="D306" s="1" t="n">
        <v>45672</v>
      </c>
      <c r="E306" s="1" t="n">
        <v>46221</v>
      </c>
      <c r="F306" t="inlineStr">
        <is>
          <t>DALARNAS LÄN</t>
        </is>
      </c>
      <c r="G306" t="inlineStr">
        <is>
          <t>GAGNEF</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20771-2025</t>
        </is>
      </c>
      <c r="B307" t="inlineStr">
        <is>
          <t>avverkningsanmälan</t>
        </is>
      </c>
      <c r="C307" t="inlineStr">
        <is>
          <t>Föryngringsavverkning</t>
        </is>
      </c>
      <c r="D307" s="1" t="n">
        <v>45776</v>
      </c>
      <c r="E307" s="1" t="n">
        <v>46221</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s="2" t="inlineStr"/>
    </row>
    <row r="308" ht="15" customHeight="1">
      <c r="A308" t="inlineStr">
        <is>
          <t>A 24862-2024</t>
        </is>
      </c>
      <c r="B308" t="inlineStr">
        <is>
          <t>avverkningsanmälan</t>
        </is>
      </c>
      <c r="C308" t="inlineStr">
        <is>
          <t>Föryngringsavverkning</t>
        </is>
      </c>
      <c r="D308" s="1" t="n">
        <v>45461</v>
      </c>
      <c r="E308" s="1" t="n">
        <v>46221</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8491-2025</t>
        </is>
      </c>
      <c r="B309" t="inlineStr">
        <is>
          <t>avverkningsanmälan</t>
        </is>
      </c>
      <c r="C309" t="inlineStr">
        <is>
          <t>Föryngringsavverkning</t>
        </is>
      </c>
      <c r="D309" s="1" t="n">
        <v>45709</v>
      </c>
      <c r="E309" s="1" t="n">
        <v>46221</v>
      </c>
      <c r="F309" t="inlineStr">
        <is>
          <t>DALARNAS LÄN</t>
        </is>
      </c>
      <c r="G309" t="inlineStr">
        <is>
          <t>GAGNEF</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27814-2024</t>
        </is>
      </c>
      <c r="B310" t="inlineStr">
        <is>
          <t>avverkningsanmälan</t>
        </is>
      </c>
      <c r="C310" t="inlineStr">
        <is>
          <t>Föryngringsavverkning</t>
        </is>
      </c>
      <c r="D310" s="1" t="n">
        <v>45475</v>
      </c>
      <c r="E310" s="1" t="n">
        <v>46221</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42607-2024</t>
        </is>
      </c>
      <c r="B311" t="inlineStr">
        <is>
          <t>avverkningsanmälan</t>
        </is>
      </c>
      <c r="C311" t="inlineStr">
        <is>
          <t>Föryngringsavverkning</t>
        </is>
      </c>
      <c r="D311" s="1" t="n">
        <v>45565</v>
      </c>
      <c r="E311" s="1" t="n">
        <v>46221</v>
      </c>
      <c r="F311" t="inlineStr">
        <is>
          <t>DALARNAS LÄN</t>
        </is>
      </c>
      <c r="G311" t="inlineStr">
        <is>
          <t>GAGNEF</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30635-2024</t>
        </is>
      </c>
      <c r="B312" t="inlineStr">
        <is>
          <t>avverkningsanmälan</t>
        </is>
      </c>
      <c r="C312" t="inlineStr">
        <is>
          <t>Föryngringsavverkning</t>
        </is>
      </c>
      <c r="D312" s="1" t="n">
        <v>45495</v>
      </c>
      <c r="E312" s="1" t="n">
        <v>46221</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27668-2023</t>
        </is>
      </c>
      <c r="B313" t="inlineStr">
        <is>
          <t>avverkningsanmälan</t>
        </is>
      </c>
      <c r="C313" t="inlineStr">
        <is>
          <t>Föryngringsavverkning</t>
        </is>
      </c>
      <c r="D313" s="1" t="n">
        <v>45097</v>
      </c>
      <c r="E313" s="1" t="n">
        <v>46221</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23488-2024</t>
        </is>
      </c>
      <c r="B314" t="inlineStr">
        <is>
          <t>avverkningsanmälan</t>
        </is>
      </c>
      <c r="C314" t="inlineStr">
        <is>
          <t>Föryngringsavverkning</t>
        </is>
      </c>
      <c r="D314" s="1" t="n">
        <v>45453</v>
      </c>
      <c r="E314" s="1" t="n">
        <v>46221</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22273-2025</t>
        </is>
      </c>
      <c r="B315" t="inlineStr">
        <is>
          <t>avverkningsanmälan</t>
        </is>
      </c>
      <c r="C315" t="inlineStr">
        <is>
          <t>Föryngringsavverkning</t>
        </is>
      </c>
      <c r="D315" s="1" t="n">
        <v>45785</v>
      </c>
      <c r="E315" s="1" t="n">
        <v>46221</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5835-2025</t>
        </is>
      </c>
      <c r="B316" t="inlineStr">
        <is>
          <t>avverkningsanmälan</t>
        </is>
      </c>
      <c r="C316" t="inlineStr">
        <is>
          <t>Föryngringsavverkning</t>
        </is>
      </c>
      <c r="D316" s="1" t="n">
        <v>45694</v>
      </c>
      <c r="E316" s="1" t="n">
        <v>46221</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7598-2024</t>
        </is>
      </c>
      <c r="B317" t="inlineStr">
        <is>
          <t>avverkningsanmälan</t>
        </is>
      </c>
      <c r="C317" t="inlineStr">
        <is>
          <t>Föryngringsavverkning</t>
        </is>
      </c>
      <c r="D317" s="1" t="n">
        <v>45348</v>
      </c>
      <c r="E317" s="1" t="n">
        <v>46221</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46221</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46221</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46221</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46221</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46221</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46221</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46221</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46221</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46221</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46221</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46221</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2026-07-18T01:20:01Z</dcterms:created>
  <dcterms:modified xmlns:dcterms="http://purl.org/dc/terms/" xmlns:xsi="http://www.w3.org/2001/XMLSchema-instance" xsi:type="dcterms:W3CDTF">2026-07-18T01:20:02Z</dcterms:modified>
</cp:coreProperties>
</file>